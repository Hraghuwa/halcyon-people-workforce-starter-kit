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hared numbers" sheetId="2" state="visible" r:id="rId4"/>
    <sheet name="1 Team" sheetId="3" state="visible" r:id="rId5"/>
    <sheet name="2 Situations" sheetId="4" state="visible" r:id="rId6"/>
    <sheet name="3 Choices" sheetId="5" state="visible" r:id="rId7"/>
    <sheet name="4 Productivity" sheetId="6" state="visible" r:id="rId8"/>
    <sheet name="5 Agent moment" sheetId="7" state="visible" r:id="rId9"/>
    <sheet name="6 Checks" sheetId="8" state="visible" r:id="rId10"/>
    <sheet name="Example" sheetId="9" state="visible" r:id="rId11"/>
    <sheet name="Lists" sheetId="10" state="hidden"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<sst xmlns="http://schemas.openxmlformats.org/spreadsheetml/2006/main" count="349" uniqueCount="275">
  <si>
    <t xml:space="preserve">Halcyon Basket: Scenario Sheet</t>
  </si>
  <si>
    <t xml:space="preserve">BTAI end-term project. One sheet per team. This is your design, written in a form we can check and later load into the Design Studio.</t>
  </si>
  <si>
    <t xml:space="preserve">What this is</t>
  </si>
  <si>
    <t xml:space="preserve">Your team designs the simulation for one function. This workbook is where you write down your scenario logic: the situations, the choices, what each choice costs, and what it does to the four measures.</t>
  </si>
  <si>
    <t xml:space="preserve">How the game runs</t>
  </si>
  <si>
    <t xml:space="preserve">Four rounds (days 1-3, 4-7, 8-10, 11-13) and a board meeting on day 14. In each round your function has ONE situation. The player is a team that makes the choice for all six functions, so your module is played alongside five others.</t>
  </si>
  <si>
    <t xml:space="preserve">The four choices</t>
  </si>
  <si>
    <t xml:space="preserve">In every situation the player can pick: a person, Gen AI, an AI agent, or agentic AI. You decide what each one does there, what it costs, and what it does to the company.</t>
  </si>
  <si>
    <t xml:space="preserve">Fill in this order</t>
  </si>
  <si>
    <t xml:space="preserve">2 Situations &gt; 3 Choices &gt; 4 Productivity &gt; 5 Agent moment. Then open 6 Checks and fix anything marked Fix. Fill 1 Team first.</t>
  </si>
  <si>
    <t xml:space="preserve">Colour key</t>
  </si>
  <si>
    <t xml:space="preserve">Yellow cells are for you to fill. Grey cells are fixed. Blue numbers are the shared numbers from Company Architecture Day.</t>
  </si>
  <si>
    <t xml:space="preserve">Scoring scale</t>
  </si>
  <si>
    <t xml:space="preserve">Effects are POINTS on the 0-100 scale of each measure, compared with a person doing it. Allowed range: -10 to +10. Rough guide: small change = 2, big change = 5. Person = 0 in every column (that is the baseline).</t>
  </si>
  <si>
    <t xml:space="preserve">Risk is reversed</t>
  </si>
  <si>
    <t xml:space="preserve">For Risk Exposure, a plus means MORE risk, which is worse. Net score = Revenue + Trust + Morale - Risk.</t>
  </si>
  <si>
    <t xml:space="preserve">Costs</t>
  </si>
  <si>
    <t xml:space="preserve">Build-and-run cost and cost-if-it-goes-wrong are in budget units, taken from the shared AI budget. Reference costs are on the Shared numbers sheet.</t>
  </si>
  <si>
    <t xml:space="preserve">Customer-data points</t>
  </si>
  <si>
    <t xml:space="preserve">If a choice uses personal customer data, enter the points it uses. The company has a shared allowance.</t>
  </si>
  <si>
    <t xml:space="preserve">Rules for a good scenario</t>
  </si>
  <si>
    <t xml:space="preserve">At least one situation where the person should stay in charge. At least one where SPOT says yes but a measure still gets worse. One agent moment the player can see working. Give a reason for every score.</t>
  </si>
  <si>
    <t xml:space="preserve">Look at the Example sheet</t>
  </si>
  <si>
    <t xml:space="preserve">It shows one filled situation (an ordinary-day pricing case, not a festival case) so you can see the level of detail expected.</t>
  </si>
  <si>
    <t xml:space="preserve">Shared numbers of Halcyon</t>
  </si>
  <si>
    <t xml:space="preserve">PROPOSED by faculty. Update the blue cells after Company Architecture Day. Do not change them yourself.</t>
  </si>
  <si>
    <t xml:space="preserve">Item</t>
  </si>
  <si>
    <t xml:space="preserve">Value</t>
  </si>
  <si>
    <t xml:space="preserve">Note</t>
  </si>
  <si>
    <t xml:space="preserve">Revenue, start value</t>
  </si>
  <si>
    <t xml:space="preserve">Out of 100</t>
  </si>
  <si>
    <t xml:space="preserve">Customer Trust, start value</t>
  </si>
  <si>
    <t xml:space="preserve">Employee Morale, start value</t>
  </si>
  <si>
    <t xml:space="preserve">Risk Exposure, start value</t>
  </si>
  <si>
    <t xml:space="preserve">Out of 100. Lower is better</t>
  </si>
  <si>
    <t xml:space="preserve">Weight of each measure</t>
  </si>
  <si>
    <t xml:space="preserve">Equal weights</t>
  </si>
  <si>
    <t xml:space="preserve">Board steps in if Trust or Morale falls below</t>
  </si>
  <si>
    <t xml:space="preserve">Board steps in if Risk rises above</t>
  </si>
  <si>
    <t xml:space="preserve">Number of rounds</t>
  </si>
  <si>
    <t xml:space="preserve">Plus a board meeting on day 14</t>
  </si>
  <si>
    <t xml:space="preserve">Shared AI budget (units)</t>
  </si>
  <si>
    <t xml:space="preserve">For all six teams</t>
  </si>
  <si>
    <t xml:space="preserve">Number of teams</t>
  </si>
  <si>
    <t xml:space="preserve">Reference cost: Gen AI (units)</t>
  </si>
  <si>
    <t xml:space="preserve">Typical build-and-run cost</t>
  </si>
  <si>
    <t xml:space="preserve">Reference cost: AI agent (units)</t>
  </si>
  <si>
    <t xml:space="preserve">Reference cost: agentic AI (units)</t>
  </si>
  <si>
    <t xml:space="preserve">Customer-data allowance (points)</t>
  </si>
  <si>
    <t xml:space="preserve">Shared by all teams</t>
  </si>
  <si>
    <t xml:space="preserve">Points per use of personal data</t>
  </si>
  <si>
    <t xml:space="preserve">Your team's share of the AI budget (units)</t>
  </si>
  <si>
    <t xml:space="preserve">Equal share by default. Replace with the agreed figure after negotiation.</t>
  </si>
  <si>
    <t xml:space="preserve">1. Your team</t>
  </si>
  <si>
    <t xml:space="preserve">Function</t>
  </si>
  <si>
    <t xml:space="preserve">People and Workforce</t>
  </si>
  <si>
    <t xml:space="preserve">Team name</t>
  </si>
  <si>
    <t xml:space="preserve">Team Pulse (People and Workforce)</t>
  </si>
  <si>
    <t xml:space="preserve">Team members</t>
  </si>
  <si>
    <t xml:space="preserve">Shreya Kotary
Swapnil Mathur
Harsh Raghuwanshi
Gaurav Jawalkar
Shweta Agarwal</t>
  </si>
  <si>
    <t xml:space="preserve">Date</t>
  </si>
  <si>
    <t xml:space="preserve">2. Situations: one for each round</t>
  </si>
  <si>
    <t xml:space="preserve">What happens in your function in each round, and what a SPOT check would say about it. Keep each cell short.</t>
  </si>
  <si>
    <t xml:space="preserve">Round</t>
  </si>
  <si>
    <t xml:space="preserve">Days</t>
  </si>
  <si>
    <t xml:space="preserve">Title of the situation</t>
  </si>
  <si>
    <t xml:space="preserve">What the player sees (story and the data shown)</t>
  </si>
  <si>
    <t xml:space="preserve">S: Signal (repetitive work, delay, inconsistent decisions?)</t>
  </si>
  <si>
    <t xml:space="preserve">P: Pattern (knowledge to look up? repeatable action?)</t>
  </si>
  <si>
    <t xml:space="preserve">O: Orchestrate (Perceive, Plan, Act, Reflect; tools needed)</t>
  </si>
  <si>
    <t xml:space="preserve">T: Test and Trust (pilot, measure, human checkpoint)</t>
  </si>
  <si>
    <t xml:space="preserve">SPOT verdict: can AI work here?</t>
  </si>
  <si>
    <t xml:space="preserve">Where should a person stay in charge, and why?</t>
  </si>
  <si>
    <t xml:space="preserve">1 to 3</t>
  </si>
  <si>
    <t xml:space="preserve">Festival hiring sprint: 600 temps in 72 hours</t>
  </si>
  <si>
    <t xml:space="preserve">The promo goes viral and Pricing/Marketing forecast festival orders at +80%. Stores need 600 temporary pickers and packers across 9 cities by Day 4. 8,400 applications arrive in two days. Data shown: applications by city, 12 recruiters who can screen about 60 CVs a day each, time-to-hire today 6 days, last festival's temps: 45% quit within 30 days.</t>
  </si>
  <si>
    <t xml:space="preserve">Yes. High volume, the same screening steps repeated thousands of times, and a 6-day delay the festival cannot wait for.</t>
  </si>
  <si>
    <t xml:space="preserve">Yes. Hiring criteria and the appointment-letter policy can be looked up (RAG). Screening, interview booking and document checks are repeatable tool actions (MCP: job portal, WhatsApp, calendar, ID check).</t>
  </si>
  <si>
    <t xml:space="preserve">Perceive applications and store vacancies. Plan: shortlist against fixed criteria, rank by distance and availability. Act: book interviews, send reminders, verify documents. Reflect: compare shortlists by gender, age and pin code each evening; track Day-7 drop-outs.</t>
  </si>
  <si>
    <t xml:space="preserve">Pilot in 2 cities for 24 hours. Measure time-to-hire, show-up rate and the make-up of the shortlist. A recruiter approves every offer (Governance rule 3: no AI on hiring without a human checkpoint).</t>
  </si>
  <si>
    <t xml:space="preserve">Yes</t>
  </si>
  <si>
    <t xml:space="preserve">The offer decision and any rejection that is challenged. Hiring is a legal and ethical decision about people; criteria like 'gap in work history' or 'distance' can quietly exclude women returning to work or poorer areas.</t>
  </si>
  <si>
    <t xml:space="preserve">4 to 7</t>
  </si>
  <si>
    <t xml:space="preserve">Open shifts, every store, every day</t>
  </si>
  <si>
    <t xml:space="preserve">Stock moves between stores (Supply) and Logistics borrows 60 store staff to help deliver. Each evening 410 shifts for tomorrow are open across 180 dark stores. Managers phone people one by one. Data shown: open shifts by store and slot, staff availability, hours worked in the last 7 days, rest gaps, skills (cold-chain, night-safety transport), and who has taken extra shifts this fortnight. Today 39% of shifts are still empty at start time; 20% of staff do 60% of the extra shifts; 11% of rosters break the 12-hour rest rule.</t>
  </si>
  <si>
    <t xml:space="preserve">Yes. Every manager does the same calling every evening, decisions are inconsistent (the same willing people get called), and the delay shows up in packing time.</t>
  </si>
  <si>
    <t xml:space="preserve">Yes. Rostering rules, rest gaps, overtime caps and night-shift safety norms can be looked up (RAG). Offering, confirming and updating a shift is a repeatable action (MCP: roster system, staff app/WhatsApp, transport booking).</t>
  </si>
  <si>
    <t xml:space="preserve">Perceive open shifts, availability, hours and rest. Plan: apply hard rules first, then fairness, then preference. Act: offer in waves, confirm, update roster, book night transport. Reflect: hourly fill-rate and rule check; stop offering to anyone who declines 3 times.</t>
  </si>
  <si>
    <t xml:space="preserve">Pilot in 20 stores in one city for 2 days. Measure fill rate, rule breaches (target 0), spread of extra shifts, and no-shows. Manager approves the next-day roster in one click; anything outside the rules goes to the manager.</t>
  </si>
  <si>
    <t xml:space="preserve">Exceptions: someone asking for leave, a safety concern, a new joiner without training, or pulling store staff onto delivery bikes. A manager knows the person behind the slot; the rules engine does not.</t>
  </si>
  <si>
    <t xml:space="preserve">8 to 10</t>
  </si>
  <si>
    <t xml:space="preserve">Blame the picker? Errors during the complaint storm</t>
  </si>
  <si>
    <t xml:space="preserve">Complaints flood in (Customer Experience) and ratings fall. CX sends a report: 62% of 'wrong or missing item' complaints trace to 85 pickers in 14 stores. Regional heads want warnings issued by tomorrow. A privacy complaint is already viral (Marketing). Data shown: error rate per picker, shift length, tenure (56 of the 85 are festival temps with under 10 days' service), hours worked, and 1,900 items mislabelled during Supply's stock transfers.</t>
  </si>
  <si>
    <t xml:space="preserve">Partly. There are many cases and a deadline, but each case is a judgement about one person, not a repeated task.</t>
  </si>
  <si>
    <t xml:space="preserve">Partly. Error logs exist, but the cause is not in the data: fatigue, missing training and mislabelled stock look the same as carelessness. Issuing a warning is repeatable, but should not be automatic.</t>
  </si>
  <si>
    <t xml:space="preserve">Possible to map (Perceive error logs, Plan by threshold, Act by issuing warnings, Reflect on next week's error rate), but the loop optimises the wrong thing: it punishes symptoms of understaffing and bad data.</t>
  </si>
  <si>
    <t xml:space="preserve">Hard to pilot fairly: a pilot on discipline still disciplines real people. Any warning or removal from the shift pool needs a manager, and Governance rule 3 bars agentic AI on firing without a human checkpoint.</t>
  </si>
  <si>
    <t xml:space="preserve">Partly</t>
  </si>
  <si>
    <t xml:space="preserve">All of it. Discipline and de-facto firing need a conversation, evidence and a chance to respond (procedural fairness). The person path finds that most errors come from fatigue, 10-day temps and mislabelled stock, which no warning fixes.</t>
  </si>
  <si>
    <t xml:space="preserve">11 to 13</t>
  </si>
  <si>
    <t xml:space="preserve">Burnout before the board</t>
  </si>
  <si>
    <t xml:space="preserve">Store teams are exhausted. Absenteeism has risen from 6% to 17%, 24% of festival temps have quit in 10 days, permanent staff in the busiest stores average 58 hours a week, and the pulse survey scores 2.9 out of 5 with 3,100 free-text comments. 380 people need replacing and hiring cannot keep up. Morale is close to the board's line of 30 and the board meets on Day 14. Data shown: absence and quits by store, hours, survey score and anonymous comments.</t>
  </si>
  <si>
    <t xml:space="preserve">Yes. 3,100 comments no one can read in time, absence data across 180 stores, and a decision that is late every day it waits.</t>
  </si>
  <si>
    <t xml:space="preserve">Yes. Comments and exit reasons can be summarised by theme; retention policies and the wellbeing budget can be looked up (RAG); rest days and bonuses are repeatable actions (MCP: HR system, payroll).</t>
  </si>
  <si>
    <t xml:space="preserve">Perceive survey themes, hours, absence. Plan which stores and which issues first (heat, water, night travel, back-to-back shifts). Act: rest days, transport, small bonuses. Reflect: pulse score and quits a week later.</t>
  </si>
  <si>
    <t xml:space="preserve">Pilot actions in the 20 worst stores and compare quits with similar stores. Survey answers stay anonymous; HR approves any action aimed at a named person.</t>
  </si>
  <si>
    <t xml:space="preserve">Deciding who is offered what, and any exit after the festival. Using survey data that was promised to be anonymous to score individuals breaks a promise to staff, and selective bonuses feel unfair to those left out.</t>
  </si>
  <si>
    <t xml:space="preserve">3. Choices: four for each situation</t>
  </si>
  <si>
    <t xml:space="preserve">Person is the baseline (all zero). Score the other three compared with the person. Effects are points, -10 to +10. For Risk, plus means MORE risk.</t>
  </si>
  <si>
    <t xml:space="preserve">Choice</t>
  </si>
  <si>
    <t xml:space="preserve">Delegation level</t>
  </si>
  <si>
    <t xml:space="preserve">What it does and what the player sees</t>
  </si>
  <si>
    <t xml:space="preserve">Build and run cost (units)</t>
  </si>
  <si>
    <t xml:space="preserve">Cost if it goes wrong (units)</t>
  </si>
  <si>
    <t xml:space="preserve">Customer-data points used</t>
  </si>
  <si>
    <t xml:space="preserve">Human checkpoint?</t>
  </si>
  <si>
    <t xml:space="preserve">Revenue change</t>
  </si>
  <si>
    <t xml:space="preserve">Customer Trust change</t>
  </si>
  <si>
    <t xml:space="preserve">Employee Morale change</t>
  </si>
  <si>
    <t xml:space="preserve">Risk Exposure change (+ = more risk)</t>
  </si>
  <si>
    <t xml:space="preserve">Why you scored it this way</t>
  </si>
  <si>
    <t xml:space="preserve">Net score (formula)</t>
  </si>
  <si>
    <t xml:space="preserve">Flag (formula)</t>
  </si>
  <si>
    <t xml:space="preserve">A person</t>
  </si>
  <si>
    <t xml:space="preserve">Human only</t>
  </si>
  <si>
    <t xml:space="preserve">Baseline. 12 recruiters screen CVs by hand and phone candidates. About 45% of the 600 places are filled by Day 3, so stores enter Round 2 short-staffed.</t>
  </si>
  <si>
    <t xml:space="preserve">n/a</t>
  </si>
  <si>
    <t xml:space="preserve">Baseline: slow but every decision is made and owned by a person.</t>
  </si>
  <si>
    <t xml:space="preserve">Gen AI</t>
  </si>
  <si>
    <t xml:space="preserve">AI assists, human decides</t>
  </si>
  <si>
    <t xml:space="preserve">Writes job ads in local languages, summarises each application and drafts interview questions. Recruiters still shortlist and decide. Player sees recruiters working through the pile faster.</t>
  </si>
  <si>
    <t xml:space="preserve">More places filled before Day 4, so some revenue protected; recruiters and store teams under less strain. Humans still decide, so no new risk.</t>
  </si>
  <si>
    <t xml:space="preserve">AI agent</t>
  </si>
  <si>
    <t xml:space="preserve">AI acts, human approves</t>
  </si>
  <si>
    <t xml:space="preserve">Screens all 8,400 applications against set criteria, books interviews on WhatsApp, checks ID documents, and sends a shortlist. A recruiter approves every offer. Player sees time-to-hire fall from 6 days to 2.</t>
  </si>
  <si>
    <t xml:space="preserve">Stores are staffed in time for the peak: revenue and delivery promise protected, store teams relieved. But fixed filters (distance, work gaps) can exclude groups at scale, and ID-check errors create legal risk. SPOT says yes, yet Risk rises.</t>
  </si>
  <si>
    <t xml:space="preserve">Agentic AI</t>
  </si>
  <si>
    <t xml:space="preserve">AI acts, human audits</t>
  </si>
  <si>
    <t xml:space="preserve">Sources candidates on job portals, screens, runs a chatbot interview, sends offers and sets pay within a band, with no one approving. Player sees 600 offers out by Day 2.</t>
  </si>
  <si>
    <t xml:space="preserve">No</t>
  </si>
  <si>
    <t xml:space="preserve">Fastest hiring, but it breaks Governance rule 3 (no agentic AI on hiring without a human checkpoint). Mismatched hires quit, managers lose say over their teams, and one biased-hiring story is a public and legal risk.</t>
  </si>
  <si>
    <t xml:space="preserve">Baseline. Each store manager phones staff every evening to fill tomorrow's 410 open shifts. 39% are still empty at start time and the same willing people are called again and again.</t>
  </si>
  <si>
    <t xml:space="preserve">Baseline: managers know their people, but filling is slow, uneven and breaks rest rules under pressure.</t>
  </si>
  <si>
    <t xml:space="preserve">Drafts tomorrow's roster and the WhatsApp messages for each manager from availability and hours. Manager checks, edits and sends. Player sees managers finishing in 20 minutes instead of 2 hours.</t>
  </si>
  <si>
    <t xml:space="preserve">More shifts filled earlier, so packing time improves a little; managers get evenings back. The draft is only a suggestion, so no new risk.</t>
  </si>
  <si>
    <t xml:space="preserve">The Shift-Fill Agent (see the Agent moment tab). Offers open shifts to eligible staff by the rules: 12-hour rest, overtime cap, fairness rotation, skills. Confirms acceptances, books night transport and escalates gaps. Manager approves the roster in one click.</t>
  </si>
  <si>
    <t xml:space="preserve">Fill rate rises from 61% to about 90%, so stores pack on time and Logistics hits delivery times: revenue and trust gain. Fair rotation and the right to decline lift morale. Small new risk from data or rule errors, kept low by the log and the rule check.</t>
  </si>
  <si>
    <t xml:space="preserve">Pursues 'zero unfilled shifts' on its own: assigns people when nobody accepts, moves staff between stores, sets surge pay, and lends store staff to Logistics for deliveries. Player sees 100% coverage on the dashboard.</t>
  </si>
  <si>
    <t xml:space="preserve">Every slot is filled, but by forcing people: assigned shifts, uneven surge pay, untrained staff on bikes. Staff feel run by an algorithm, rest and safety rules are broken under goal pressure, and quits rise in Round 4.</t>
  </si>
  <si>
    <t xml:space="preserve">Baseline. Store managers review each of the 85 cases, talk to the picker, and check the stock data. They find most errors come from fatigue, 10-day temps without training, and mislabelled transfer stock. Result: coaching and a fix to labelling; warnings only where earned.</t>
  </si>
  <si>
    <t xml:space="preserve">Baseline. Slower, but it finds the real causes and keeps the process fair. This is the round where the person path wins.</t>
  </si>
  <si>
    <t xml:space="preserve">Writes a case summary and a warning letter for each flagged picker from the error log. Managers decide whether to sign. Player sees 85 letters ready in an hour, and most get signed.</t>
  </si>
  <si>
    <t xml:space="preserve">Looks harmless, but a ready-made letter nudges busy managers to sign (automation bias). The letters blame people for system problems, so morale falls, and generic warnings are weak if challenged. Net is negative.</t>
  </si>
  <si>
    <t xml:space="preserve">Issues warnings automatically when a picker's error rate passes a threshold, attaching customer complaint records as evidence. Manager approves in one batch.</t>
  </si>
  <si>
    <t xml:space="preserve">A slight short-term fall in errors, but 85 warnings to tired, untrained temps hurt morale across stores. It uses customer complaint data on staff files (2 data points), during a viral privacy row: more legal and public risk.</t>
  </si>
  <si>
    <t xml:space="preserve">Goal: halve picking errors. Tracks pick-rate per minute and camera footage, ranks every picker, and removes the bottom 5% from the shift pool without review, which is firing in all but name.</t>
  </si>
  <si>
    <t xml:space="preserve">Breaks Governance rule 3 (firing without a human checkpoint). Staff feel watched and disposable; morale collapses. A story about 'festival workers fired by algorithm' lands during the privacy row and hits customer trust. Uses customer order data (4 points).</t>
  </si>
  <si>
    <t xml:space="preserve">Baseline. HR business partners hold huddles in the worst stores, read a sample of comments, and choose fixes. They reach about 30 of 180 stores before the board meeting.</t>
  </si>
  <si>
    <t xml:space="preserve">Baseline: caring and trusted, but too slow to reach every store before Day 14.</t>
  </si>
  <si>
    <t xml:space="preserve">Reads all 3,100 anonymous comments and exit reasons and groups them by theme and store (heat and no drinking water, unsafe night travel, back-to-back shifts). HR picks the actions. Player sees a theme map within an hour.</t>
  </si>
  <si>
    <t xml:space="preserve">People feel heard quickly and fixes target the real causes (water, transport, rest days), so morale recovers. Safety issues found early lower risk. Anonymity is kept, so no privacy cost. Best choice this round.</t>
  </si>
  <si>
    <t xml:space="preserve">A flight-risk agent scores each employee from attendance, hours and survey answers (linked back to names), then sends retention bonuses or rest days within a budget. Manager approves.</t>
  </si>
  <si>
    <t xml:space="preserve">It predicts quits well and keeps some people, but it uses survey answers that were promised to be anonymous. Word spreads; those not offered feel it is unfair. SPOT says yes, yet morale falls and employee-data risk rises (DPDP Act).</t>
  </si>
  <si>
    <t xml:space="preserve">Runs the whole recovery plan alone: forecasts post-festival demand, hires replacements, sets incentives, rebuilds rosters, and releases temps automatically on Day 14.</t>
  </si>
  <si>
    <t xml:space="preserve">Saves payroll and fills gaps fast, but automatic release of temps and automated hiring break Governance rule 3. Staff see colleagues dropped by a system: morale falls and the board sees both Morale and Risk near their limits.</t>
  </si>
  <si>
    <t xml:space="preserve">4. Productivity in your function's own terms</t>
  </si>
  <si>
    <t xml:space="preserve">Say what you count, what it is today, and how much each form of AI changes it.</t>
  </si>
  <si>
    <t xml:space="preserve">Question</t>
  </si>
  <si>
    <t xml:space="preserve">Your answer</t>
  </si>
  <si>
    <t xml:space="preserve">Result (formula)</t>
  </si>
  <si>
    <t xml:space="preserve">Unit of work you count (for example: complaints resolved, price reviews, deliveries)</t>
  </si>
  <si>
    <t xml:space="preserve">Open shifts filled before the shift starts, across all 180 dark stores (store pickers and packers)</t>
  </si>
  <si>
    <t xml:space="preserve">Measured per (hour, day, week)</t>
  </si>
  <si>
    <t xml:space="preserve">Day (one evening's rostering for the next day)</t>
  </si>
  <si>
    <t xml:space="preserve">Baseline today (number per period)</t>
  </si>
  <si>
    <t xml:space="preserve">Change with Gen AI (for example 20%)</t>
  </si>
  <si>
    <t xml:space="preserve">Change with an AI agent</t>
  </si>
  <si>
    <t xml:space="preserve">Change with agentic AI</t>
  </si>
  <si>
    <t xml:space="preserve">Counter-measure: what could get worse while this improves?</t>
  </si>
  <si>
    <t xml:space="preserve">Fairness and rest. Filling more shifts can mean the same willing people work too much: watch rest-rule breaches (target 0), the share of extra shifts done by the top 20% of staff (today 60%), and quits in Round 4. Agentic AI fills the most shifts but by forcing them, which is why its morale and risk scores are worst.</t>
  </si>
  <si>
    <t xml:space="preserve">How will the player see the gain in your simulation?</t>
  </si>
  <si>
    <t xml:space="preserve">A coverage gauge for each store (shifts filled / 410 needed) that turns from red to green, plus the 'packing time' it feeds to Logistics. Beside it, a fairness bar and a rest-rule breach counter, so the player sees the cost of the gain too.</t>
  </si>
  <si>
    <t xml:space="preserve">5. The agent moment</t>
  </si>
  <si>
    <t xml:space="preserve">One situation where the player needs an agent, and sees it work. This is where the agent demo comes from.</t>
  </si>
  <si>
    <t xml:space="preserve">Which round and situation?</t>
  </si>
  <si>
    <t xml:space="preserve">Round 2 (days 4 to 7): Open shifts, every store, every day. The Shift-Fill Agent.</t>
  </si>
  <si>
    <t xml:space="preserve">What triggers the agent? (what has just happened)</t>
  </si>
  <si>
    <t xml:space="preserve">6 pm on Day 4: tomorrow shows 410 open shifts across 180 stores after Supply moved festival stock and Logistics borrowed 60 store staff for deliveries. Three store managers have also called in sick, so nobody is phoning their teams.</t>
  </si>
  <si>
    <t xml:space="preserve">Perceive: what data does the agent look at?</t>
  </si>
  <si>
    <t xml:space="preserve">Tomorrow's open shifts by store and time slot; demand forecast per store (from Pricing and Marketing); each person's availability and preferences in the staff app; hours worked in the last 7 days and time since last shift; skills and training (cold-chain, new joiner); home-to-store distance; a fairness ledger of extra shifts taken this fortnight.</t>
  </si>
  <si>
    <t xml:space="preserve">Plan: how does it decide what to do?</t>
  </si>
  <si>
    <t xml:space="preserve">For each open shift: 1) remove anyone who would break a hard rule (12-hour rest, weekly hours cap, weekly off, skills, women's night-shift consent and transport); 2) rank the rest by fairness (fewest extra shifts first), then preference, then distance; 3) offer in waves of 3 people with a 30-minute window; 4) if a shift is still empty 4 hours before start, hand it to the manager.</t>
  </si>
  <si>
    <t xml:space="preserve">Act: which tools or actions does it use? (look up a policy, issue a refund, message a rider)</t>
  </si>
  <si>
    <t xml:space="preserve">Looks up the rostering policy and labour rules (RAG); sends shift offers on the staff app and WhatsApp; writes confirmed shifts to the roster system; books night transport for late shifts; posts leftover shifts to the temp-agency pool; messages the store manager with gaps and exceptions.</t>
  </si>
  <si>
    <t xml:space="preserve">Reflect: how does it check its own work, or learn from the result?</t>
  </si>
  <si>
    <t xml:space="preserve">Every hour it re-checks the whole roster against the rules (target: 0 breaches), checks the fill rate, and checks the fairness ledger so the same people are not asked again. Anyone who declines 3 offers in a row gets no more that day (a burnout signal). Next morning it compares no-shows with its offers and adjusts. Every step is written to a readable log (Governance rule 1).</t>
  </si>
  <si>
    <t xml:space="preserve">Limits the player can set (for example: maximum refund, price band)</t>
  </si>
  <si>
    <t xml:space="preserve">Maximum overtime per person per week (6, 10 or 14 hours); minimum rest gap (10 or 12 hours); maximum offers per person per day; whether it may move staff between stores (off, or within 3 km); overtime-premium budget per day; auto-confirm within rules, or manager approves the roster.</t>
  </si>
  <si>
    <t xml:space="preserve">Human checkpoint: when does the agent stop and call a person?</t>
  </si>
  <si>
    <t xml:space="preserve">When a shift cannot be filled 4 hours before it starts; when filling it would break any rule; when someone declines 3 times; for a new joiner without training or a night shift without transport; when the overtime budget is used up; and for any grievance or leave request. A manager can override any assignment (Governance rule 2).</t>
  </si>
  <si>
    <t xml:space="preserve">What the player sees on screen while it runs</t>
  </si>
  <si>
    <t xml:space="preserve">A map of the 180 stores turning from red to green as shifts fill; a live ticker of offers sent, accepted and declined; a fairness bar showing how evenly extra shifts are spread; a rule-check panel (0 breaches); the agent's log in plain words (e.g. 'Offered Store 41 night shift to P. Rao: 14 h rest, 1 extra shift this fortnight, transport booked'); and a queue of items waiting for a manager.</t>
  </si>
  <si>
    <t xml:space="preserve">What could go wrong, and what would that cost?</t>
  </si>
  <si>
    <t xml:space="preserve">Stale availability data sends offers to people on leave; a mis-set fairness weight piles shifts on the same people, who then quit in Round 4; a rule error breaks rest limits (labour-law exposure); too many messages annoy staff. Cost if wrong: 6 units, and in the simulation Morale -3 and Risk +4 carried into Round 4.</t>
  </si>
  <si>
    <t xml:space="preserve">6. Checks</t>
  </si>
  <si>
    <t xml:space="preserve">Fix every row marked Fix before you present. Rows marked Info are for you to think about.</t>
  </si>
  <si>
    <t xml:space="preserve">Check</t>
  </si>
  <si>
    <t xml:space="preserve">Result</t>
  </si>
  <si>
    <t xml:space="preserve">Status</t>
  </si>
  <si>
    <t xml:space="preserve">Situations written (out of 4)</t>
  </si>
  <si>
    <t xml:space="preserve">SPOT notes filled (out of 16)</t>
  </si>
  <si>
    <t xml:space="preserve">SPOT verdicts chosen (out of 4)</t>
  </si>
  <si>
    <t xml:space="preserve">Costs and data points filled (out of 36 for the three AI choices)</t>
  </si>
  <si>
    <t xml:space="preserve">Scores filled (out of 48 for the three AI choices)</t>
  </si>
  <si>
    <t xml:space="preserve">Rounds where the person path scores at least as well as every AI choice</t>
  </si>
  <si>
    <t xml:space="preserve">Rounds where SPOT says Yes but a measure still worsens</t>
  </si>
  <si>
    <t xml:space="preserve">Agent moment answers filled (out of 10)</t>
  </si>
  <si>
    <t xml:space="preserve">Productivity answers filled (out of 8)</t>
  </si>
  <si>
    <t xml:space="preserve">Reasons written for AI choices (out of 12)</t>
  </si>
  <si>
    <t xml:space="preserve">Spend if the player picks the costliest choice in every round (units)</t>
  </si>
  <si>
    <t xml:space="preserve">Customer-data points if the player picks the most data-hungry choice every round</t>
  </si>
  <si>
    <t xml:space="preserve">Overall</t>
  </si>
  <si>
    <t xml:space="preserve">Round (working table, do not edit)</t>
  </si>
  <si>
    <t xml:space="preserve">Person net</t>
  </si>
  <si>
    <t xml:space="preserve">Best AI net</t>
  </si>
  <si>
    <t xml:space="preserve">Best AI choice</t>
  </si>
  <si>
    <t xml:space="preserve">Highest cost (units)</t>
  </si>
  <si>
    <t xml:space="preserve">Person path as good as AI?</t>
  </si>
  <si>
    <t xml:space="preserve">SPOT Yes and a measure worsens?</t>
  </si>
  <si>
    <t xml:space="preserve">Highest data points</t>
  </si>
  <si>
    <t xml:space="preserve">Example: one filled situation</t>
  </si>
  <si>
    <t xml:space="preserve">An ordinary-day Pricing case, to show the level of detail. Your rounds must use the Festival Fortnight story. Numbers are illustrations.</t>
  </si>
  <si>
    <t xml:space="preserve">Entry</t>
  </si>
  <si>
    <t xml:space="preserve">Pricing and Promotions</t>
  </si>
  <si>
    <t xml:space="preserve">Situation title</t>
  </si>
  <si>
    <t xml:space="preserve">Rival cuts milk and egg prices every Monday</t>
  </si>
  <si>
    <t xml:space="preserve">What the player sees</t>
  </si>
  <si>
    <t xml:space="preserve">A rival lowers the price of milk and eggs each Monday at 7am. Halcyon reviews prices once a week, so it is a week behind. Data shown: rival prices, Halcyon prices, last week's sales of both items.</t>
  </si>
  <si>
    <t xml:space="preserve">S: Signal</t>
  </si>
  <si>
    <t xml:space="preserve">Yes. The same drop repeats every week and the reply is always late.</t>
  </si>
  <si>
    <t xml:space="preserve">P: Pattern</t>
  </si>
  <si>
    <t xml:space="preserve">Yes. Price history is on file (retrieve), and repricing inside a band is repeatable (tool call).</t>
  </si>
  <si>
    <t xml:space="preserve">O: Orchestrate</t>
  </si>
  <si>
    <t xml:space="preserve">Perceive rival price, Plan new price within band, Act through the price tool, Reflect on next-day sales.</t>
  </si>
  <si>
    <t xml:space="preserve">T: Test and Trust</t>
  </si>
  <si>
    <t xml:space="preserve">Pilot on two items in one city for a week. Measure sales and complaints. Human approves any move beyond 10%.</t>
  </si>
  <si>
    <t xml:space="preserve">SPOT verdict</t>
  </si>
  <si>
    <t xml:space="preserve">Where a person stays in charge</t>
  </si>
  <si>
    <t xml:space="preserve">Festival offers and any price move above the band: shoppers react to jumpy prices.</t>
  </si>
  <si>
    <t xml:space="preserve">What it does</t>
  </si>
  <si>
    <t xml:space="preserve">Build and run cost</t>
  </si>
  <si>
    <t xml:space="preserve">Cost if wrong</t>
  </si>
  <si>
    <t xml:space="preserve">Data points</t>
  </si>
  <si>
    <t xml:space="preserve">Revenue</t>
  </si>
  <si>
    <t xml:space="preserve">Trust</t>
  </si>
  <si>
    <t xml:space="preserve">Morale</t>
  </si>
  <si>
    <t xml:space="preserve">Risk</t>
  </si>
  <si>
    <t xml:space="preserve">Why</t>
  </si>
  <si>
    <t xml:space="preserve">Weekly review, answers late</t>
  </si>
  <si>
    <t xml:space="preserve">Baseline.</t>
  </si>
  <si>
    <t xml:space="preserve">Analyst finishes the review sooner</t>
  </si>
  <si>
    <t xml:space="preserve">Faster review recovers some sales; the analyst has less routine work.</t>
  </si>
  <si>
    <t xml:space="preserve">Reprices within hours, inside a set band</t>
  </si>
  <si>
    <t xml:space="preserve">Sales recover quickly, but prices that keep moving make shoppers lose trust, and wrong prices are a public risk.</t>
  </si>
  <si>
    <t xml:space="preserve">Sets prices and offers itself to hit a margin target</t>
  </si>
  <si>
    <t xml:space="preserve">Biggest sales gain, but the offers drift, trust falls hard and the team feels sidelined.</t>
  </si>
  <si>
    <t xml:space="preserve">Net score (Revenue + Trust + Morale - Risk): person 0, Gen AI 4, agent 1, agentic -7. The agent passes SPOT, yet Trust falls. That is the tension to design in.</t>
  </si>
  <si>
    <t xml:space="preserve">Round 1</t>
  </si>
  <si>
    <t xml:space="preserve">Supply and Inventory</t>
  </si>
  <si>
    <t xml:space="preserve">Round 2</t>
  </si>
  <si>
    <t xml:space="preserve">Last-Mile Logistics</t>
  </si>
  <si>
    <t xml:space="preserve">Round 3</t>
  </si>
  <si>
    <t xml:space="preserve">Customer Experience</t>
  </si>
  <si>
    <t xml:space="preserve">Round 4</t>
  </si>
  <si>
    <t xml:space="preserve">Marketing and Personalization</t>
  </si>
</sst>
</file>

<file path=xl/styles.xml><?xml version="1.0" encoding="utf-8"?>
<styleSheet xmlns="http://schemas.openxmlformats.org/spreadsheetml/2006/main">
  <numFmts count="5">
    <numFmt numFmtId="164" formatCode="General"/>
    <numFmt numFmtId="165" formatCode="0%"/>
    <numFmt numFmtId="166" formatCode="0.0"/>
    <numFmt numFmtId="167" formatCode="d\ mmmm\ yyyy"/>
    <numFmt numFmtId="168"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14213D"/>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s>
  <fills count="6">
    <fill>
      <patternFill patternType="none"/>
    </fill>
    <fill>
      <patternFill patternType="gray125"/>
    </fill>
    <fill>
      <patternFill patternType="solid">
        <fgColor rgb="FFEEF3F8"/>
        <bgColor rgb="FFE8EAEE"/>
      </patternFill>
    </fill>
    <fill>
      <patternFill patternType="solid">
        <fgColor rgb="FF14213D"/>
        <bgColor rgb="FF003366"/>
      </patternFill>
    </fill>
    <fill>
      <patternFill patternType="solid">
        <fgColor rgb="FFFFFF99"/>
        <bgColor rgb="FFFBE9C8"/>
      </patternFill>
    </fill>
    <fill>
      <patternFill patternType="solid">
        <fgColor rgb="FFE8EAEE"/>
        <bgColor rgb="FFEEF3F8"/>
      </patternFill>
    </fill>
  </fills>
  <borders count="3">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 diagonalUp="false" diagonalDown="false">
      <left style="thin">
        <color rgb="FFC9CED6"/>
      </left>
      <right style="thin">
        <color rgb="FFC9CED6"/>
      </right>
      <top style="medium">
        <color rgb="FF14213D"/>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left"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6" fillId="5" borderId="2" xfId="0" applyFont="true" applyBorder="true" applyAlignment="true" applyProtection="false">
      <alignment horizontal="center" vertical="top" textRotation="0" wrapText="true" indent="0" shrinkToFit="false"/>
      <protection locked="true" hidden="false"/>
    </xf>
    <xf numFmtId="164" fontId="6" fillId="5"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7" fillId="4"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center" vertical="top" textRotation="0" wrapText="true" indent="0" shrinkToFit="false"/>
      <protection locked="true" hidden="false"/>
    </xf>
    <xf numFmtId="168" fontId="7" fillId="0" borderId="2" xfId="0" applyFont="true" applyBorder="true" applyAlignment="true" applyProtection="false">
      <alignment horizontal="center"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left" vertical="top" textRotation="0" wrapText="false" indent="0" shrinkToFit="false"/>
      <protection locked="true" hidden="false"/>
    </xf>
    <xf numFmtId="165" fontId="7" fillId="4" borderId="1" xfId="0" applyFont="true" applyBorder="true" applyAlignment="true" applyProtection="false">
      <alignment horizontal="left"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8" fontId="6"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BE9C8"/>
        </patternFill>
      </fill>
    </dxf>
    <dxf>
      <fill>
        <patternFill>
          <bgColor rgb="FFF8D7D3"/>
        </patternFill>
      </fill>
    </dxf>
    <dxf>
      <fill>
        <patternFill>
          <bgColor rgb="FFD5EDE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9C8"/>
      <rgbColor rgb="FFEEF3F8"/>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E8EAEE"/>
      <rgbColor rgb="FFD5EDE0"/>
      <rgbColor rgb="FFFFFF99"/>
      <rgbColor rgb="FF99CCFF"/>
      <rgbColor rgb="FFFF99CC"/>
      <rgbColor rgb="FFCC99FF"/>
      <rgbColor rgb="FFF8D7D3"/>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42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8" hidden="false" customHeight="true" outlineLevel="0" collapsed="false">
      <c r="A1" s="2" t="s">
        <v>0</v>
      </c>
    </row>
    <row r="2" customFormat="false" ht="15" hidden="false" customHeight="true" outlineLevel="0" collapsed="false">
      <c r="A2" s="3" t="s">
        <v>1</v>
      </c>
    </row>
    <row r="4" customFormat="false" ht="48" hidden="false" customHeight="true" outlineLevel="0" collapsed="false">
      <c r="A4" s="4" t="s">
        <v>2</v>
      </c>
      <c r="B4" s="5" t="s">
        <v>3</v>
      </c>
    </row>
    <row r="5" customFormat="false" ht="48" hidden="false" customHeight="true" outlineLevel="0" collapsed="false">
      <c r="A5" s="4" t="s">
        <v>4</v>
      </c>
      <c r="B5" s="5" t="s">
        <v>5</v>
      </c>
    </row>
    <row r="6" customFormat="false" ht="48" hidden="false" customHeight="true" outlineLevel="0" collapsed="false">
      <c r="A6" s="4" t="s">
        <v>6</v>
      </c>
      <c r="B6" s="5" t="s">
        <v>7</v>
      </c>
    </row>
    <row r="7" customFormat="false" ht="48" hidden="false" customHeight="true" outlineLevel="0" collapsed="false">
      <c r="A7" s="4" t="s">
        <v>8</v>
      </c>
      <c r="B7" s="5" t="s">
        <v>9</v>
      </c>
    </row>
    <row r="8" customFormat="false" ht="48" hidden="false" customHeight="true" outlineLevel="0" collapsed="false">
      <c r="A8" s="4" t="s">
        <v>10</v>
      </c>
      <c r="B8" s="5" t="s">
        <v>11</v>
      </c>
    </row>
    <row r="9" customFormat="false" ht="48" hidden="false" customHeight="true" outlineLevel="0" collapsed="false">
      <c r="A9" s="4" t="s">
        <v>12</v>
      </c>
      <c r="B9" s="5" t="s">
        <v>13</v>
      </c>
    </row>
    <row r="10" customFormat="false" ht="48" hidden="false" customHeight="true" outlineLevel="0" collapsed="false">
      <c r="A10" s="4" t="s">
        <v>14</v>
      </c>
      <c r="B10" s="5" t="s">
        <v>15</v>
      </c>
    </row>
    <row r="11" customFormat="false" ht="48" hidden="false" customHeight="true" outlineLevel="0" collapsed="false">
      <c r="A11" s="4" t="s">
        <v>16</v>
      </c>
      <c r="B11" s="5" t="s">
        <v>17</v>
      </c>
    </row>
    <row r="12" customFormat="false" ht="48" hidden="false" customHeight="true" outlineLevel="0" collapsed="false">
      <c r="A12" s="4" t="s">
        <v>18</v>
      </c>
      <c r="B12" s="5" t="s">
        <v>19</v>
      </c>
    </row>
    <row r="13" customFormat="false" ht="48" hidden="false" customHeight="true" outlineLevel="0" collapsed="false">
      <c r="A13" s="4" t="s">
        <v>20</v>
      </c>
      <c r="B13" s="5" t="s">
        <v>21</v>
      </c>
    </row>
    <row r="14" customFormat="false" ht="48" hidden="false" customHeight="true" outlineLevel="0" collapsed="false">
      <c r="A14" s="4" t="s">
        <v>22</v>
      </c>
      <c r="B14"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70"/>
  </cols>
  <sheetData>
    <row r="1" customFormat="false" ht="18" hidden="false" customHeight="true" outlineLevel="0" collapsed="false">
      <c r="A1" s="2" t="s">
        <v>24</v>
      </c>
    </row>
    <row r="2" customFormat="false" ht="15" hidden="false" customHeight="true" outlineLevel="0" collapsed="false">
      <c r="A2" s="3" t="s">
        <v>25</v>
      </c>
    </row>
    <row r="4" customFormat="false" ht="33.75" hidden="false" customHeight="true" outlineLevel="0" collapsed="false">
      <c r="A4" s="6" t="s">
        <v>26</v>
      </c>
      <c r="B4" s="6" t="s">
        <v>27</v>
      </c>
      <c r="C4" s="6" t="s">
        <v>28</v>
      </c>
    </row>
    <row r="5" customFormat="false" ht="15" hidden="false" customHeight="true" outlineLevel="0" collapsed="false">
      <c r="A5" s="5" t="s">
        <v>29</v>
      </c>
      <c r="B5" s="7" t="n">
        <v>60</v>
      </c>
      <c r="C5" s="5" t="s">
        <v>30</v>
      </c>
    </row>
    <row r="6" customFormat="false" ht="15" hidden="false" customHeight="true" outlineLevel="0" collapsed="false">
      <c r="A6" s="5" t="s">
        <v>31</v>
      </c>
      <c r="B6" s="7" t="n">
        <v>60</v>
      </c>
      <c r="C6" s="5" t="s">
        <v>30</v>
      </c>
    </row>
    <row r="7" customFormat="false" ht="15" hidden="false" customHeight="true" outlineLevel="0" collapsed="false">
      <c r="A7" s="5" t="s">
        <v>32</v>
      </c>
      <c r="B7" s="7" t="n">
        <v>55</v>
      </c>
      <c r="C7" s="5" t="s">
        <v>30</v>
      </c>
    </row>
    <row r="8" customFormat="false" ht="15" hidden="false" customHeight="true" outlineLevel="0" collapsed="false">
      <c r="A8" s="5" t="s">
        <v>33</v>
      </c>
      <c r="B8" s="7" t="n">
        <v>40</v>
      </c>
      <c r="C8" s="5" t="s">
        <v>34</v>
      </c>
    </row>
    <row r="9" customFormat="false" ht="15" hidden="false" customHeight="true" outlineLevel="0" collapsed="false">
      <c r="A9" s="5" t="s">
        <v>35</v>
      </c>
      <c r="B9" s="8" t="n">
        <v>0.25</v>
      </c>
      <c r="C9" s="5" t="s">
        <v>36</v>
      </c>
    </row>
    <row r="10" customFormat="false" ht="15" hidden="false" customHeight="true" outlineLevel="0" collapsed="false">
      <c r="A10" s="5" t="s">
        <v>37</v>
      </c>
      <c r="B10" s="7" t="n">
        <v>30</v>
      </c>
      <c r="C10" s="5"/>
    </row>
    <row r="11" customFormat="false" ht="15" hidden="false" customHeight="true" outlineLevel="0" collapsed="false">
      <c r="A11" s="5" t="s">
        <v>38</v>
      </c>
      <c r="B11" s="7" t="n">
        <v>75</v>
      </c>
      <c r="C11" s="5"/>
    </row>
    <row r="12" customFormat="false" ht="15" hidden="false" customHeight="true" outlineLevel="0" collapsed="false">
      <c r="A12" s="5" t="s">
        <v>39</v>
      </c>
      <c r="B12" s="7" t="n">
        <v>4</v>
      </c>
      <c r="C12" s="5" t="s">
        <v>40</v>
      </c>
    </row>
    <row r="13" customFormat="false" ht="15" hidden="false" customHeight="true" outlineLevel="0" collapsed="false">
      <c r="A13" s="5" t="s">
        <v>41</v>
      </c>
      <c r="B13" s="7" t="n">
        <v>100</v>
      </c>
      <c r="C13" s="5" t="s">
        <v>42</v>
      </c>
    </row>
    <row r="14" customFormat="false" ht="15" hidden="false" customHeight="true" outlineLevel="0" collapsed="false">
      <c r="A14" s="5" t="s">
        <v>43</v>
      </c>
      <c r="B14" s="7" t="n">
        <v>6</v>
      </c>
      <c r="C14" s="5"/>
    </row>
    <row r="15" customFormat="false" ht="15" hidden="false" customHeight="true" outlineLevel="0" collapsed="false">
      <c r="A15" s="5" t="s">
        <v>44</v>
      </c>
      <c r="B15" s="7" t="n">
        <v>5</v>
      </c>
      <c r="C15" s="5" t="s">
        <v>45</v>
      </c>
    </row>
    <row r="16" customFormat="false" ht="15" hidden="false" customHeight="true" outlineLevel="0" collapsed="false">
      <c r="A16" s="5" t="s">
        <v>46</v>
      </c>
      <c r="B16" s="7" t="n">
        <v>15</v>
      </c>
      <c r="C16" s="5"/>
    </row>
    <row r="17" customFormat="false" ht="15" hidden="false" customHeight="true" outlineLevel="0" collapsed="false">
      <c r="A17" s="5" t="s">
        <v>47</v>
      </c>
      <c r="B17" s="7" t="n">
        <v>30</v>
      </c>
      <c r="C17" s="5"/>
    </row>
    <row r="18" customFormat="false" ht="15" hidden="false" customHeight="true" outlineLevel="0" collapsed="false">
      <c r="A18" s="5" t="s">
        <v>48</v>
      </c>
      <c r="B18" s="7" t="n">
        <v>10</v>
      </c>
      <c r="C18" s="5" t="s">
        <v>49</v>
      </c>
    </row>
    <row r="19" customFormat="false" ht="15" hidden="false" customHeight="true" outlineLevel="0" collapsed="false">
      <c r="A19" s="5" t="s">
        <v>50</v>
      </c>
      <c r="B19" s="7" t="n">
        <v>2</v>
      </c>
      <c r="C19" s="5"/>
    </row>
    <row r="20" customFormat="false" ht="15" hidden="false" customHeight="true" outlineLevel="0" collapsed="false">
      <c r="A20" s="9" t="s">
        <v>51</v>
      </c>
      <c r="B20" s="10" t="n">
        <f aca="false">B13/B14</f>
        <v>16.6666666666667</v>
      </c>
      <c r="C20" s="5"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60"/>
  </cols>
  <sheetData>
    <row r="1" customFormat="false" ht="18" hidden="false" customHeight="true" outlineLevel="0" collapsed="false">
      <c r="A1" s="2" t="s">
        <v>53</v>
      </c>
    </row>
    <row r="4" customFormat="false" ht="20.25" hidden="false" customHeight="true" outlineLevel="0" collapsed="false">
      <c r="A4" s="4" t="s">
        <v>54</v>
      </c>
      <c r="B4" s="11" t="s">
        <v>55</v>
      </c>
    </row>
    <row r="5" customFormat="false" ht="20.25" hidden="false" customHeight="true" outlineLevel="0" collapsed="false">
      <c r="A5" s="4" t="s">
        <v>56</v>
      </c>
      <c r="B5" s="11" t="s">
        <v>57</v>
      </c>
    </row>
    <row r="6" customFormat="false" ht="78" hidden="false" customHeight="true" outlineLevel="0" collapsed="false">
      <c r="A6" s="4" t="s">
        <v>58</v>
      </c>
      <c r="B6" s="11" t="s">
        <v>59</v>
      </c>
    </row>
    <row r="7" customFormat="false" ht="20.25" hidden="false" customHeight="true" outlineLevel="0" collapsed="false">
      <c r="A7" s="4" t="s">
        <v>60</v>
      </c>
      <c r="B7" s="12" t="n">
        <v>46324</v>
      </c>
    </row>
  </sheetData>
  <dataValidations count="1">
    <dataValidation allowBlank="true" errorStyle="stop" operator="between" showDropDown="false" showErrorMessage="false" showInputMessage="false" sqref="B4" type="list">
      <formula1>Lists!$D$1:$D$6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26"/>
    <col collapsed="false" customWidth="true" hidden="false" outlineLevel="0" max="4" min="4" style="1" width="48"/>
    <col collapsed="false" customWidth="true" hidden="false" outlineLevel="0" max="8" min="5" style="1" width="32"/>
    <col collapsed="false" customWidth="true" hidden="false" outlineLevel="0" max="9" min="9" style="1" width="14"/>
    <col collapsed="false" customWidth="true" hidden="false" outlineLevel="0" max="10" min="10" style="1" width="38"/>
  </cols>
  <sheetData>
    <row r="1" customFormat="false" ht="18" hidden="false" customHeight="true" outlineLevel="0" collapsed="false">
      <c r="A1" s="2" t="s">
        <v>61</v>
      </c>
    </row>
    <row r="2" customFormat="false" ht="15" hidden="false" customHeight="true" outlineLevel="0" collapsed="false">
      <c r="A2" s="3" t="s">
        <v>62</v>
      </c>
    </row>
    <row r="4" customFormat="false" ht="33.75" hidden="false" customHeight="true" outlineLevel="0" collapsed="false">
      <c r="A4" s="6" t="s">
        <v>63</v>
      </c>
      <c r="B4" s="6" t="s">
        <v>64</v>
      </c>
      <c r="C4" s="6" t="s">
        <v>65</v>
      </c>
      <c r="D4" s="6" t="s">
        <v>66</v>
      </c>
      <c r="E4" s="6" t="s">
        <v>67</v>
      </c>
      <c r="F4" s="6" t="s">
        <v>68</v>
      </c>
      <c r="G4" s="6" t="s">
        <v>69</v>
      </c>
      <c r="H4" s="6" t="s">
        <v>70</v>
      </c>
      <c r="I4" s="6" t="s">
        <v>71</v>
      </c>
      <c r="J4" s="6" t="s">
        <v>72</v>
      </c>
    </row>
    <row r="5" customFormat="false" ht="109.5" hidden="false" customHeight="true" outlineLevel="0" collapsed="false">
      <c r="A5" s="13" t="n">
        <v>1</v>
      </c>
      <c r="B5" s="14" t="s">
        <v>73</v>
      </c>
      <c r="C5" s="11" t="s">
        <v>74</v>
      </c>
      <c r="D5" s="11" t="s">
        <v>75</v>
      </c>
      <c r="E5" s="11" t="s">
        <v>76</v>
      </c>
      <c r="F5" s="11" t="s">
        <v>77</v>
      </c>
      <c r="G5" s="11" t="s">
        <v>78</v>
      </c>
      <c r="H5" s="11" t="s">
        <v>79</v>
      </c>
      <c r="I5" s="11" t="s">
        <v>80</v>
      </c>
      <c r="J5" s="11" t="s">
        <v>81</v>
      </c>
    </row>
    <row r="6" customFormat="false" ht="150.75" hidden="false" customHeight="true" outlineLevel="0" collapsed="false">
      <c r="A6" s="13" t="n">
        <v>2</v>
      </c>
      <c r="B6" s="14" t="s">
        <v>82</v>
      </c>
      <c r="C6" s="11" t="s">
        <v>83</v>
      </c>
      <c r="D6" s="11" t="s">
        <v>84</v>
      </c>
      <c r="E6" s="11" t="s">
        <v>85</v>
      </c>
      <c r="F6" s="11" t="s">
        <v>86</v>
      </c>
      <c r="G6" s="11" t="s">
        <v>87</v>
      </c>
      <c r="H6" s="11" t="s">
        <v>88</v>
      </c>
      <c r="I6" s="11" t="s">
        <v>80</v>
      </c>
      <c r="J6" s="11" t="s">
        <v>89</v>
      </c>
    </row>
    <row r="7" customFormat="false" ht="136.5" hidden="false" customHeight="true" outlineLevel="0" collapsed="false">
      <c r="A7" s="13" t="n">
        <v>3</v>
      </c>
      <c r="B7" s="14" t="s">
        <v>90</v>
      </c>
      <c r="C7" s="11" t="s">
        <v>91</v>
      </c>
      <c r="D7" s="11" t="s">
        <v>92</v>
      </c>
      <c r="E7" s="11" t="s">
        <v>93</v>
      </c>
      <c r="F7" s="11" t="s">
        <v>94</v>
      </c>
      <c r="G7" s="11" t="s">
        <v>95</v>
      </c>
      <c r="H7" s="11" t="s">
        <v>96</v>
      </c>
      <c r="I7" s="11" t="s">
        <v>97</v>
      </c>
      <c r="J7" s="11" t="s">
        <v>98</v>
      </c>
    </row>
    <row r="8" customFormat="false" ht="136.5" hidden="false" customHeight="true" outlineLevel="0" collapsed="false">
      <c r="A8" s="13" t="n">
        <v>4</v>
      </c>
      <c r="B8" s="14" t="s">
        <v>99</v>
      </c>
      <c r="C8" s="11" t="s">
        <v>100</v>
      </c>
      <c r="D8" s="11" t="s">
        <v>101</v>
      </c>
      <c r="E8" s="11" t="s">
        <v>102</v>
      </c>
      <c r="F8" s="11" t="s">
        <v>103</v>
      </c>
      <c r="G8" s="11" t="s">
        <v>104</v>
      </c>
      <c r="H8" s="11" t="s">
        <v>105</v>
      </c>
      <c r="I8" s="11" t="s">
        <v>80</v>
      </c>
      <c r="J8" s="11" t="s">
        <v>106</v>
      </c>
    </row>
  </sheetData>
  <dataValidations count="1">
    <dataValidation allowBlank="true" errorStyle="stop" operator="between" showDropDown="false" showErrorMessage="false" showInputMessage="false" sqref="I5:I8" type="list">
      <formula1>Lists!$A$1:$A$3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4"/>
    <col collapsed="false" customWidth="true" hidden="false" outlineLevel="0" max="3" min="3" style="1" width="24"/>
    <col collapsed="false" customWidth="true" hidden="false" outlineLevel="0" max="4" min="4" style="1" width="46"/>
    <col collapsed="false" customWidth="true" hidden="false" outlineLevel="0" max="8" min="5" style="1" width="12"/>
    <col collapsed="false" customWidth="true" hidden="false" outlineLevel="0" max="11" min="9" style="1" width="11"/>
    <col collapsed="false" customWidth="true" hidden="false" outlineLevel="0" max="12" min="12" style="1" width="13"/>
    <col collapsed="false" customWidth="true" hidden="false" outlineLevel="0" max="13" min="13" style="1" width="50"/>
    <col collapsed="false" customWidth="true" hidden="false" outlineLevel="0" max="14" min="14" style="1" width="10"/>
    <col collapsed="false" customWidth="true" hidden="false" outlineLevel="0" max="15" min="15" style="1" width="18"/>
  </cols>
  <sheetData>
    <row r="1" customFormat="false" ht="18" hidden="false" customHeight="true" outlineLevel="0" collapsed="false">
      <c r="A1" s="2" t="s">
        <v>107</v>
      </c>
    </row>
    <row r="2" customFormat="false" ht="15" hidden="false" customHeight="true" outlineLevel="0" collapsed="false">
      <c r="A2" s="3" t="s">
        <v>108</v>
      </c>
    </row>
    <row r="4" customFormat="false" ht="33.75" hidden="false" customHeight="true" outlineLevel="0" collapsed="false">
      <c r="A4" s="6" t="s">
        <v>63</v>
      </c>
      <c r="B4" s="6" t="s">
        <v>109</v>
      </c>
      <c r="C4" s="6" t="s">
        <v>110</v>
      </c>
      <c r="D4" s="6" t="s">
        <v>111</v>
      </c>
      <c r="E4" s="6" t="s">
        <v>112</v>
      </c>
      <c r="F4" s="6" t="s">
        <v>113</v>
      </c>
      <c r="G4" s="6" t="s">
        <v>114</v>
      </c>
      <c r="H4" s="6" t="s">
        <v>115</v>
      </c>
      <c r="I4" s="6" t="s">
        <v>116</v>
      </c>
      <c r="J4" s="6" t="s">
        <v>117</v>
      </c>
      <c r="K4" s="6" t="s">
        <v>118</v>
      </c>
      <c r="L4" s="6" t="s">
        <v>119</v>
      </c>
      <c r="M4" s="6" t="s">
        <v>120</v>
      </c>
      <c r="N4" s="6" t="s">
        <v>121</v>
      </c>
      <c r="O4" s="6" t="s">
        <v>122</v>
      </c>
    </row>
    <row r="5" customFormat="false" ht="51.75" hidden="false" customHeight="true" outlineLevel="0" collapsed="false">
      <c r="A5" s="13" t="n">
        <v>1</v>
      </c>
      <c r="B5" s="15" t="s">
        <v>123</v>
      </c>
      <c r="C5" s="16" t="s">
        <v>124</v>
      </c>
      <c r="D5" s="11" t="s">
        <v>125</v>
      </c>
      <c r="E5" s="14" t="n">
        <v>0</v>
      </c>
      <c r="F5" s="14" t="n">
        <v>0</v>
      </c>
      <c r="G5" s="14" t="n">
        <v>0</v>
      </c>
      <c r="H5" s="14" t="s">
        <v>126</v>
      </c>
      <c r="I5" s="14" t="n">
        <v>0</v>
      </c>
      <c r="J5" s="14" t="n">
        <v>0</v>
      </c>
      <c r="K5" s="14" t="n">
        <v>0</v>
      </c>
      <c r="L5" s="14" t="n">
        <v>0</v>
      </c>
      <c r="M5" s="11" t="s">
        <v>127</v>
      </c>
      <c r="N5" s="17" t="n">
        <f aca="false">IF(COUNT(I5:L5)&lt;4,"",I5+J5+K5-L5)</f>
        <v>0</v>
      </c>
      <c r="O5" s="5"/>
    </row>
    <row r="6" customFormat="false" ht="63.75" hidden="false" customHeight="true" outlineLevel="0" collapsed="false">
      <c r="A6" s="13" t="n">
        <v>1</v>
      </c>
      <c r="B6" s="15" t="s">
        <v>128</v>
      </c>
      <c r="C6" s="11" t="s">
        <v>129</v>
      </c>
      <c r="D6" s="11" t="s">
        <v>130</v>
      </c>
      <c r="E6" s="18" t="n">
        <v>5</v>
      </c>
      <c r="F6" s="18" t="n">
        <v>2</v>
      </c>
      <c r="G6" s="18" t="n">
        <v>0</v>
      </c>
      <c r="H6" s="18" t="s">
        <v>80</v>
      </c>
      <c r="I6" s="18" t="n">
        <v>2</v>
      </c>
      <c r="J6" s="18" t="n">
        <v>0</v>
      </c>
      <c r="K6" s="18" t="n">
        <v>2</v>
      </c>
      <c r="L6" s="18" t="n">
        <v>0</v>
      </c>
      <c r="M6" s="11" t="s">
        <v>131</v>
      </c>
      <c r="N6" s="17" t="n">
        <f aca="false">IF(COUNT(I6:L6)&lt;4,"",I6+J6+K6-L6)</f>
        <v>4</v>
      </c>
      <c r="O6" s="5" t="str">
        <f aca="false">IF(COUNT(I6:L6)&lt;4,"",IF(OR(I6&lt;0,J6&lt;0,K6&lt;0,L6&gt;0),"A measure worsens",""))</f>
        <v/>
      </c>
    </row>
    <row r="7" customFormat="false" ht="78" hidden="false" customHeight="true" outlineLevel="0" collapsed="false">
      <c r="A7" s="13" t="n">
        <v>1</v>
      </c>
      <c r="B7" s="15" t="s">
        <v>132</v>
      </c>
      <c r="C7" s="11" t="s">
        <v>133</v>
      </c>
      <c r="D7" s="11" t="s">
        <v>134</v>
      </c>
      <c r="E7" s="18" t="n">
        <v>15</v>
      </c>
      <c r="F7" s="18" t="n">
        <v>10</v>
      </c>
      <c r="G7" s="18" t="n">
        <v>0</v>
      </c>
      <c r="H7" s="18" t="s">
        <v>80</v>
      </c>
      <c r="I7" s="18" t="n">
        <v>5</v>
      </c>
      <c r="J7" s="18" t="n">
        <v>2</v>
      </c>
      <c r="K7" s="18" t="n">
        <v>3</v>
      </c>
      <c r="L7" s="18" t="n">
        <v>3</v>
      </c>
      <c r="M7" s="11" t="s">
        <v>135</v>
      </c>
      <c r="N7" s="17" t="n">
        <f aca="false">IF(COUNT(I7:L7)&lt;4,"",I7+J7+K7-L7)</f>
        <v>7</v>
      </c>
      <c r="O7" s="5" t="str">
        <f aca="false">IF(COUNT(I7:L7)&lt;4,"",IF(OR(I7&lt;0,J7&lt;0,K7&lt;0,L7&gt;0),"A measure worsens",""))</f>
        <v>A measure worsens</v>
      </c>
    </row>
    <row r="8" customFormat="false" ht="63.75" hidden="false" customHeight="true" outlineLevel="0" collapsed="false">
      <c r="A8" s="13" t="n">
        <v>1</v>
      </c>
      <c r="B8" s="15" t="s">
        <v>136</v>
      </c>
      <c r="C8" s="11" t="s">
        <v>137</v>
      </c>
      <c r="D8" s="11" t="s">
        <v>138</v>
      </c>
      <c r="E8" s="18" t="n">
        <v>30</v>
      </c>
      <c r="F8" s="18" t="n">
        <v>25</v>
      </c>
      <c r="G8" s="18" t="n">
        <v>0</v>
      </c>
      <c r="H8" s="18" t="s">
        <v>139</v>
      </c>
      <c r="I8" s="18" t="n">
        <v>6</v>
      </c>
      <c r="J8" s="18" t="n">
        <v>1</v>
      </c>
      <c r="K8" s="18" t="n">
        <v>-3</v>
      </c>
      <c r="L8" s="18" t="n">
        <v>8</v>
      </c>
      <c r="M8" s="11" t="s">
        <v>140</v>
      </c>
      <c r="N8" s="17" t="n">
        <f aca="false">IF(COUNT(I8:L8)&lt;4,"",I8+J8+K8-L8)</f>
        <v>-4</v>
      </c>
      <c r="O8" s="5" t="str">
        <f aca="false">IF(COUNT(I8:L8)&lt;4,"",IF(OR(I8&lt;0,J8&lt;0,K8&lt;0,L8&gt;0),"A measure worsens",""))</f>
        <v>A measure worsens</v>
      </c>
    </row>
    <row r="9" customFormat="false" ht="63.75" hidden="false" customHeight="true" outlineLevel="0" collapsed="false">
      <c r="A9" s="19" t="n">
        <v>2</v>
      </c>
      <c r="B9" s="20" t="s">
        <v>123</v>
      </c>
      <c r="C9" s="21" t="s">
        <v>124</v>
      </c>
      <c r="D9" s="22" t="s">
        <v>141</v>
      </c>
      <c r="E9" s="23" t="n">
        <v>0</v>
      </c>
      <c r="F9" s="23" t="n">
        <v>0</v>
      </c>
      <c r="G9" s="23" t="n">
        <v>0</v>
      </c>
      <c r="H9" s="23" t="s">
        <v>126</v>
      </c>
      <c r="I9" s="23" t="n">
        <v>0</v>
      </c>
      <c r="J9" s="23" t="n">
        <v>0</v>
      </c>
      <c r="K9" s="23" t="n">
        <v>0</v>
      </c>
      <c r="L9" s="23" t="n">
        <v>0</v>
      </c>
      <c r="M9" s="22" t="s">
        <v>142</v>
      </c>
      <c r="N9" s="24" t="n">
        <f aca="false">IF(COUNT(I9:L9)&lt;4,"",I9+J9+K9-L9)</f>
        <v>0</v>
      </c>
      <c r="O9" s="25"/>
    </row>
    <row r="10" customFormat="false" ht="63.75" hidden="false" customHeight="true" outlineLevel="0" collapsed="false">
      <c r="A10" s="13" t="n">
        <v>2</v>
      </c>
      <c r="B10" s="15" t="s">
        <v>128</v>
      </c>
      <c r="C10" s="11" t="s">
        <v>129</v>
      </c>
      <c r="D10" s="11" t="s">
        <v>143</v>
      </c>
      <c r="E10" s="18" t="n">
        <v>5</v>
      </c>
      <c r="F10" s="18" t="n">
        <v>2</v>
      </c>
      <c r="G10" s="18" t="n">
        <v>0</v>
      </c>
      <c r="H10" s="18" t="s">
        <v>80</v>
      </c>
      <c r="I10" s="18" t="n">
        <v>2</v>
      </c>
      <c r="J10" s="18" t="n">
        <v>1</v>
      </c>
      <c r="K10" s="18" t="n">
        <v>1</v>
      </c>
      <c r="L10" s="18" t="n">
        <v>0</v>
      </c>
      <c r="M10" s="11" t="s">
        <v>144</v>
      </c>
      <c r="N10" s="17" t="n">
        <f aca="false">IF(COUNT(I10:L10)&lt;4,"",I10+J10+K10-L10)</f>
        <v>4</v>
      </c>
      <c r="O10" s="5" t="str">
        <f aca="false">IF(COUNT(I10:L10)&lt;4,"",IF(OR(I10&lt;0,J10&lt;0,K10&lt;0,L10&gt;0),"A measure worsens",""))</f>
        <v/>
      </c>
    </row>
    <row r="11" customFormat="false" ht="78" hidden="false" customHeight="true" outlineLevel="0" collapsed="false">
      <c r="A11" s="13" t="n">
        <v>2</v>
      </c>
      <c r="B11" s="15" t="s">
        <v>132</v>
      </c>
      <c r="C11" s="11" t="s">
        <v>133</v>
      </c>
      <c r="D11" s="11" t="s">
        <v>145</v>
      </c>
      <c r="E11" s="18" t="n">
        <v>12</v>
      </c>
      <c r="F11" s="18" t="n">
        <v>6</v>
      </c>
      <c r="G11" s="18" t="n">
        <v>0</v>
      </c>
      <c r="H11" s="18" t="s">
        <v>80</v>
      </c>
      <c r="I11" s="18" t="n">
        <v>5</v>
      </c>
      <c r="J11" s="18" t="n">
        <v>3</v>
      </c>
      <c r="K11" s="18" t="n">
        <v>2</v>
      </c>
      <c r="L11" s="18" t="n">
        <v>1</v>
      </c>
      <c r="M11" s="11" t="s">
        <v>146</v>
      </c>
      <c r="N11" s="17" t="n">
        <f aca="false">IF(COUNT(I11:L11)&lt;4,"",I11+J11+K11-L11)</f>
        <v>9</v>
      </c>
      <c r="O11" s="5" t="str">
        <f aca="false">IF(COUNT(I11:L11)&lt;4,"",IF(OR(I11&lt;0,J11&lt;0,K11&lt;0,L11&gt;0),"A measure worsens",""))</f>
        <v>A measure worsens</v>
      </c>
    </row>
    <row r="12" customFormat="false" ht="78" hidden="false" customHeight="true" outlineLevel="0" collapsed="false">
      <c r="A12" s="13" t="n">
        <v>2</v>
      </c>
      <c r="B12" s="15" t="s">
        <v>136</v>
      </c>
      <c r="C12" s="11" t="s">
        <v>137</v>
      </c>
      <c r="D12" s="11" t="s">
        <v>147</v>
      </c>
      <c r="E12" s="18" t="n">
        <v>30</v>
      </c>
      <c r="F12" s="18" t="n">
        <v>20</v>
      </c>
      <c r="G12" s="18" t="n">
        <v>0</v>
      </c>
      <c r="H12" s="18" t="s">
        <v>139</v>
      </c>
      <c r="I12" s="18" t="n">
        <v>6</v>
      </c>
      <c r="J12" s="18" t="n">
        <v>2</v>
      </c>
      <c r="K12" s="18" t="n">
        <v>-6</v>
      </c>
      <c r="L12" s="18" t="n">
        <v>6</v>
      </c>
      <c r="M12" s="11" t="s">
        <v>148</v>
      </c>
      <c r="N12" s="17" t="n">
        <f aca="false">IF(COUNT(I12:L12)&lt;4,"",I12+J12+K12-L12)</f>
        <v>-4</v>
      </c>
      <c r="O12" s="5" t="str">
        <f aca="false">IF(COUNT(I12:L12)&lt;4,"",IF(OR(I12&lt;0,J12&lt;0,K12&lt;0,L12&gt;0),"A measure worsens",""))</f>
        <v>A measure worsens</v>
      </c>
    </row>
    <row r="13" customFormat="false" ht="93" hidden="false" customHeight="true" outlineLevel="0" collapsed="false">
      <c r="A13" s="19" t="n">
        <v>3</v>
      </c>
      <c r="B13" s="20" t="s">
        <v>123</v>
      </c>
      <c r="C13" s="21" t="s">
        <v>124</v>
      </c>
      <c r="D13" s="22" t="s">
        <v>149</v>
      </c>
      <c r="E13" s="23" t="n">
        <v>0</v>
      </c>
      <c r="F13" s="23" t="n">
        <v>0</v>
      </c>
      <c r="G13" s="23" t="n">
        <v>0</v>
      </c>
      <c r="H13" s="23" t="s">
        <v>126</v>
      </c>
      <c r="I13" s="23" t="n">
        <v>0</v>
      </c>
      <c r="J13" s="23" t="n">
        <v>0</v>
      </c>
      <c r="K13" s="23" t="n">
        <v>0</v>
      </c>
      <c r="L13" s="23" t="n">
        <v>0</v>
      </c>
      <c r="M13" s="22" t="s">
        <v>150</v>
      </c>
      <c r="N13" s="24" t="n">
        <f aca="false">IF(COUNT(I13:L13)&lt;4,"",I13+J13+K13-L13)</f>
        <v>0</v>
      </c>
      <c r="O13" s="25"/>
    </row>
    <row r="14" customFormat="false" ht="63.75" hidden="false" customHeight="true" outlineLevel="0" collapsed="false">
      <c r="A14" s="13" t="n">
        <v>3</v>
      </c>
      <c r="B14" s="15" t="s">
        <v>128</v>
      </c>
      <c r="C14" s="11" t="s">
        <v>129</v>
      </c>
      <c r="D14" s="11" t="s">
        <v>151</v>
      </c>
      <c r="E14" s="18" t="n">
        <v>3</v>
      </c>
      <c r="F14" s="18" t="n">
        <v>4</v>
      </c>
      <c r="G14" s="18" t="n">
        <v>0</v>
      </c>
      <c r="H14" s="18" t="s">
        <v>80</v>
      </c>
      <c r="I14" s="18" t="n">
        <v>1</v>
      </c>
      <c r="J14" s="18" t="n">
        <v>0</v>
      </c>
      <c r="K14" s="18" t="n">
        <v>-2</v>
      </c>
      <c r="L14" s="18" t="n">
        <v>1</v>
      </c>
      <c r="M14" s="11" t="s">
        <v>152</v>
      </c>
      <c r="N14" s="17" t="n">
        <f aca="false">IF(COUNT(I14:L14)&lt;4,"",I14+J14+K14-L14)</f>
        <v>-2</v>
      </c>
      <c r="O14" s="5" t="str">
        <f aca="false">IF(COUNT(I14:L14)&lt;4,"",IF(OR(I14&lt;0,J14&lt;0,K14&lt;0,L14&gt;0),"A measure worsens",""))</f>
        <v>A measure worsens</v>
      </c>
    </row>
    <row r="15" customFormat="false" ht="63.75" hidden="false" customHeight="true" outlineLevel="0" collapsed="false">
      <c r="A15" s="13" t="n">
        <v>3</v>
      </c>
      <c r="B15" s="15" t="s">
        <v>132</v>
      </c>
      <c r="C15" s="11" t="s">
        <v>133</v>
      </c>
      <c r="D15" s="11" t="s">
        <v>153</v>
      </c>
      <c r="E15" s="18" t="n">
        <v>12</v>
      </c>
      <c r="F15" s="18" t="n">
        <v>12</v>
      </c>
      <c r="G15" s="18" t="n">
        <v>2</v>
      </c>
      <c r="H15" s="18" t="s">
        <v>80</v>
      </c>
      <c r="I15" s="18" t="n">
        <v>1</v>
      </c>
      <c r="J15" s="18" t="n">
        <v>1</v>
      </c>
      <c r="K15" s="18" t="n">
        <v>-5</v>
      </c>
      <c r="L15" s="18" t="n">
        <v>4</v>
      </c>
      <c r="M15" s="11" t="s">
        <v>154</v>
      </c>
      <c r="N15" s="17" t="n">
        <f aca="false">IF(COUNT(I15:L15)&lt;4,"",I15+J15+K15-L15)</f>
        <v>-7</v>
      </c>
      <c r="O15" s="5" t="str">
        <f aca="false">IF(COUNT(I15:L15)&lt;4,"",IF(OR(I15&lt;0,J15&lt;0,K15&lt;0,L15&gt;0),"A measure worsens",""))</f>
        <v>A measure worsens</v>
      </c>
    </row>
    <row r="16" customFormat="false" ht="78" hidden="false" customHeight="true" outlineLevel="0" collapsed="false">
      <c r="A16" s="13" t="n">
        <v>3</v>
      </c>
      <c r="B16" s="15" t="s">
        <v>136</v>
      </c>
      <c r="C16" s="11" t="s">
        <v>137</v>
      </c>
      <c r="D16" s="11" t="s">
        <v>155</v>
      </c>
      <c r="E16" s="18" t="n">
        <v>25</v>
      </c>
      <c r="F16" s="18" t="n">
        <v>30</v>
      </c>
      <c r="G16" s="18" t="n">
        <v>4</v>
      </c>
      <c r="H16" s="18" t="s">
        <v>139</v>
      </c>
      <c r="I16" s="18" t="n">
        <v>2</v>
      </c>
      <c r="J16" s="18" t="n">
        <v>-3</v>
      </c>
      <c r="K16" s="18" t="n">
        <v>-9</v>
      </c>
      <c r="L16" s="18" t="n">
        <v>9</v>
      </c>
      <c r="M16" s="11" t="s">
        <v>156</v>
      </c>
      <c r="N16" s="17" t="n">
        <f aca="false">IF(COUNT(I16:L16)&lt;4,"",I16+J16+K16-L16)</f>
        <v>-19</v>
      </c>
      <c r="O16" s="5" t="str">
        <f aca="false">IF(COUNT(I16:L16)&lt;4,"",IF(OR(I16&lt;0,J16&lt;0,K16&lt;0,L16&gt;0),"A measure worsens",""))</f>
        <v>A measure worsens</v>
      </c>
    </row>
    <row r="17" customFormat="false" ht="63.75" hidden="false" customHeight="true" outlineLevel="0" collapsed="false">
      <c r="A17" s="19" t="n">
        <v>4</v>
      </c>
      <c r="B17" s="20" t="s">
        <v>123</v>
      </c>
      <c r="C17" s="21" t="s">
        <v>124</v>
      </c>
      <c r="D17" s="22" t="s">
        <v>157</v>
      </c>
      <c r="E17" s="23" t="n">
        <v>0</v>
      </c>
      <c r="F17" s="23" t="n">
        <v>0</v>
      </c>
      <c r="G17" s="23" t="n">
        <v>0</v>
      </c>
      <c r="H17" s="23" t="s">
        <v>126</v>
      </c>
      <c r="I17" s="23" t="n">
        <v>0</v>
      </c>
      <c r="J17" s="23" t="n">
        <v>0</v>
      </c>
      <c r="K17" s="23" t="n">
        <v>0</v>
      </c>
      <c r="L17" s="23" t="n">
        <v>0</v>
      </c>
      <c r="M17" s="22" t="s">
        <v>158</v>
      </c>
      <c r="N17" s="24" t="n">
        <f aca="false">IF(COUNT(I17:L17)&lt;4,"",I17+J17+K17-L17)</f>
        <v>0</v>
      </c>
      <c r="O17" s="25"/>
    </row>
    <row r="18" customFormat="false" ht="78" hidden="false" customHeight="true" outlineLevel="0" collapsed="false">
      <c r="A18" s="13" t="n">
        <v>4</v>
      </c>
      <c r="B18" s="15" t="s">
        <v>128</v>
      </c>
      <c r="C18" s="11" t="s">
        <v>129</v>
      </c>
      <c r="D18" s="11" t="s">
        <v>159</v>
      </c>
      <c r="E18" s="18" t="n">
        <v>5</v>
      </c>
      <c r="F18" s="18" t="n">
        <v>2</v>
      </c>
      <c r="G18" s="18" t="n">
        <v>0</v>
      </c>
      <c r="H18" s="18" t="s">
        <v>80</v>
      </c>
      <c r="I18" s="18" t="n">
        <v>1</v>
      </c>
      <c r="J18" s="18" t="n">
        <v>0</v>
      </c>
      <c r="K18" s="18" t="n">
        <v>4</v>
      </c>
      <c r="L18" s="18" t="n">
        <v>-1</v>
      </c>
      <c r="M18" s="11" t="s">
        <v>160</v>
      </c>
      <c r="N18" s="17" t="n">
        <f aca="false">IF(COUNT(I18:L18)&lt;4,"",I18+J18+K18-L18)</f>
        <v>6</v>
      </c>
      <c r="O18" s="5" t="str">
        <f aca="false">IF(COUNT(I18:L18)&lt;4,"",IF(OR(I18&lt;0,J18&lt;0,K18&lt;0,L18&gt;0),"A measure worsens",""))</f>
        <v/>
      </c>
    </row>
    <row r="19" customFormat="false" ht="78" hidden="false" customHeight="true" outlineLevel="0" collapsed="false">
      <c r="A19" s="13" t="n">
        <v>4</v>
      </c>
      <c r="B19" s="15" t="s">
        <v>132</v>
      </c>
      <c r="C19" s="11" t="s">
        <v>133</v>
      </c>
      <c r="D19" s="11" t="s">
        <v>161</v>
      </c>
      <c r="E19" s="18" t="n">
        <v>15</v>
      </c>
      <c r="F19" s="18" t="n">
        <v>10</v>
      </c>
      <c r="G19" s="18" t="n">
        <v>0</v>
      </c>
      <c r="H19" s="18" t="s">
        <v>80</v>
      </c>
      <c r="I19" s="18" t="n">
        <v>3</v>
      </c>
      <c r="J19" s="18" t="n">
        <v>1</v>
      </c>
      <c r="K19" s="18" t="n">
        <v>-1</v>
      </c>
      <c r="L19" s="18" t="n">
        <v>4</v>
      </c>
      <c r="M19" s="11" t="s">
        <v>162</v>
      </c>
      <c r="N19" s="17" t="n">
        <f aca="false">IF(COUNT(I19:L19)&lt;4,"",I19+J19+K19-L19)</f>
        <v>-1</v>
      </c>
      <c r="O19" s="5" t="str">
        <f aca="false">IF(COUNT(I19:L19)&lt;4,"",IF(OR(I19&lt;0,J19&lt;0,K19&lt;0,L19&gt;0),"A measure worsens",""))</f>
        <v>A measure worsens</v>
      </c>
    </row>
    <row r="20" customFormat="false" ht="63.75" hidden="false" customHeight="true" outlineLevel="0" collapsed="false">
      <c r="A20" s="13" t="n">
        <v>4</v>
      </c>
      <c r="B20" s="15" t="s">
        <v>136</v>
      </c>
      <c r="C20" s="11" t="s">
        <v>137</v>
      </c>
      <c r="D20" s="11" t="s">
        <v>163</v>
      </c>
      <c r="E20" s="18" t="n">
        <v>30</v>
      </c>
      <c r="F20" s="18" t="n">
        <v>25</v>
      </c>
      <c r="G20" s="18" t="n">
        <v>0</v>
      </c>
      <c r="H20" s="18" t="s">
        <v>139</v>
      </c>
      <c r="I20" s="18" t="n">
        <v>5</v>
      </c>
      <c r="J20" s="18" t="n">
        <v>1</v>
      </c>
      <c r="K20" s="18" t="n">
        <v>-6</v>
      </c>
      <c r="L20" s="18" t="n">
        <v>7</v>
      </c>
      <c r="M20" s="11" t="s">
        <v>164</v>
      </c>
      <c r="N20" s="17" t="n">
        <f aca="false">IF(COUNT(I20:L20)&lt;4,"",I20+J20+K20-L20)</f>
        <v>-7</v>
      </c>
      <c r="O20" s="5" t="str">
        <f aca="false">IF(COUNT(I20:L20)&lt;4,"",IF(OR(I20&lt;0,J20&lt;0,K20&lt;0,L20&gt;0),"A measure worsens",""))</f>
        <v>A measure worsens</v>
      </c>
    </row>
  </sheetData>
  <conditionalFormatting sqref="O5:O20">
    <cfRule type="expression" priority="2" aboveAverage="0" equalAverage="0" bottom="0" percent="0" rank="0" text="" dxfId="0">
      <formula>O5="A measure worsens"</formula>
    </cfRule>
  </conditionalFormatting>
  <dataValidations count="7">
    <dataValidation allowBlank="true" errorStyle="stop" operator="between" showDropDown="false" showErrorMessage="false" showInputMessage="false" sqref="C6:C8" type="list">
      <formula1>Lists!$B$1:$B$4</formula1>
      <formula2>0</formula2>
    </dataValidation>
    <dataValidation allowBlank="true" errorStyle="stop" operator="between" showDropDown="false" showErrorMessage="false" showInputMessage="false" sqref="C10:C12" type="list">
      <formula1>Lists!$B$1:$B$4</formula1>
      <formula2>0</formula2>
    </dataValidation>
    <dataValidation allowBlank="true" errorStyle="stop" operator="between" showDropDown="false" showErrorMessage="false" showInputMessage="false" sqref="C14:C16" type="list">
      <formula1>Lists!$B$1:$B$4</formula1>
      <formula2>0</formula2>
    </dataValidation>
    <dataValidation allowBlank="true" errorStyle="stop" operator="between" showDropDown="false" showErrorMessage="false" showInputMessage="false" sqref="C18:C20" type="list">
      <formula1>Lists!$B$1:$B$4</formula1>
      <formula2>0</formula2>
    </dataValidation>
    <dataValidation allowBlank="true" errorStyle="stop" operator="between" showDropDown="false" showErrorMessage="false" showInputMessage="false" sqref="H5:H20" type="list">
      <formula1>Lists!$C$1:$C$2</formula1>
      <formula2>0</formula2>
    </dataValidation>
    <dataValidation allowBlank="true" error="Enter a number from -10 to 10" errorStyle="stop" errorTitle="Out of range" operator="between" showDropDown="false" showErrorMessage="true" showInputMessage="false" sqref="I5:L20" type="decimal">
      <formula1>-10</formula1>
      <formula2>10</formula2>
    </dataValidation>
    <dataValidation allowBlank="true" error="Enter 0 or more" errorStyle="stop" operator="greaterThanOrEqual" showDropDown="false" showErrorMessage="true" showInputMessage="false" sqref="E5:G20"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50"/>
    <col collapsed="false" customWidth="true" hidden="false" outlineLevel="0" max="3" min="3" style="1" width="20"/>
  </cols>
  <sheetData>
    <row r="1" customFormat="false" ht="18" hidden="false" customHeight="true" outlineLevel="0" collapsed="false">
      <c r="A1" s="2" t="s">
        <v>165</v>
      </c>
    </row>
    <row r="2" customFormat="false" ht="15" hidden="false" customHeight="true" outlineLevel="0" collapsed="false">
      <c r="A2" s="3" t="s">
        <v>166</v>
      </c>
    </row>
    <row r="4" customFormat="false" ht="33.75" hidden="false" customHeight="true" outlineLevel="0" collapsed="false">
      <c r="A4" s="6" t="s">
        <v>167</v>
      </c>
      <c r="B4" s="6" t="s">
        <v>168</v>
      </c>
      <c r="C4" s="6" t="s">
        <v>169</v>
      </c>
    </row>
    <row r="5" customFormat="false" ht="39.75" hidden="false" customHeight="true" outlineLevel="0" collapsed="false">
      <c r="A5" s="4" t="s">
        <v>170</v>
      </c>
      <c r="B5" s="11" t="s">
        <v>171</v>
      </c>
      <c r="C5" s="5"/>
    </row>
    <row r="6" customFormat="false" ht="39.75" hidden="false" customHeight="true" outlineLevel="0" collapsed="false">
      <c r="A6" s="4" t="s">
        <v>172</v>
      </c>
      <c r="B6" s="11" t="s">
        <v>173</v>
      </c>
      <c r="C6" s="5"/>
    </row>
    <row r="7" customFormat="false" ht="39.75" hidden="false" customHeight="true" outlineLevel="0" collapsed="false">
      <c r="A7" s="4" t="s">
        <v>174</v>
      </c>
      <c r="B7" s="26" t="n">
        <v>250</v>
      </c>
      <c r="C7" s="5"/>
    </row>
    <row r="8" customFormat="false" ht="39.75" hidden="false" customHeight="true" outlineLevel="0" collapsed="false">
      <c r="A8" s="4" t="s">
        <v>175</v>
      </c>
      <c r="B8" s="27" t="n">
        <v>0.2</v>
      </c>
      <c r="C8" s="28" t="n">
        <f aca="false">IF(OR($B$7="",B8=""),"",$B$7*(1+B8))</f>
        <v>300</v>
      </c>
    </row>
    <row r="9" customFormat="false" ht="39.75" hidden="false" customHeight="true" outlineLevel="0" collapsed="false">
      <c r="A9" s="4" t="s">
        <v>176</v>
      </c>
      <c r="B9" s="27" t="n">
        <v>0.5</v>
      </c>
      <c r="C9" s="28" t="n">
        <f aca="false">IF(OR($B$7="",B9=""),"",$B$7*(1+B9))</f>
        <v>375</v>
      </c>
    </row>
    <row r="10" customFormat="false" ht="39.75" hidden="false" customHeight="true" outlineLevel="0" collapsed="false">
      <c r="A10" s="4" t="s">
        <v>177</v>
      </c>
      <c r="B10" s="27" t="n">
        <v>0.6</v>
      </c>
      <c r="C10" s="28" t="n">
        <f aca="false">IF(OR($B$7="",B10=""),"",$B$7*(1+B10))</f>
        <v>400</v>
      </c>
    </row>
    <row r="11" customFormat="false" ht="93" hidden="false" customHeight="true" outlineLevel="0" collapsed="false">
      <c r="A11" s="4" t="s">
        <v>178</v>
      </c>
      <c r="B11" s="11" t="s">
        <v>179</v>
      </c>
      <c r="C11" s="5"/>
    </row>
    <row r="12" customFormat="false" ht="78" hidden="false" customHeight="true" outlineLevel="0" collapsed="false">
      <c r="A12" s="4" t="s">
        <v>180</v>
      </c>
      <c r="B12" s="11" t="s">
        <v>181</v>
      </c>
      <c r="C1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90"/>
  </cols>
  <sheetData>
    <row r="1" customFormat="false" ht="18" hidden="false" customHeight="true" outlineLevel="0" collapsed="false">
      <c r="A1" s="2" t="s">
        <v>182</v>
      </c>
    </row>
    <row r="2" customFormat="false" ht="15" hidden="false" customHeight="true" outlineLevel="0" collapsed="false">
      <c r="A2" s="3" t="s">
        <v>183</v>
      </c>
    </row>
    <row r="4" customFormat="false" ht="33.75" hidden="false" customHeight="true" outlineLevel="0" collapsed="false">
      <c r="A4" s="6" t="s">
        <v>167</v>
      </c>
      <c r="B4" s="6" t="s">
        <v>168</v>
      </c>
    </row>
    <row r="5" customFormat="false" ht="48" hidden="false" customHeight="true" outlineLevel="0" collapsed="false">
      <c r="A5" s="4" t="s">
        <v>184</v>
      </c>
      <c r="B5" s="11" t="s">
        <v>185</v>
      </c>
    </row>
    <row r="6" customFormat="false" ht="49.5" hidden="false" customHeight="true" outlineLevel="0" collapsed="false">
      <c r="A6" s="4" t="s">
        <v>186</v>
      </c>
      <c r="B6" s="11" t="s">
        <v>187</v>
      </c>
    </row>
    <row r="7" customFormat="false" ht="63.75" hidden="false" customHeight="true" outlineLevel="0" collapsed="false">
      <c r="A7" s="4" t="s">
        <v>188</v>
      </c>
      <c r="B7" s="11" t="s">
        <v>189</v>
      </c>
    </row>
    <row r="8" customFormat="false" ht="63.75" hidden="false" customHeight="true" outlineLevel="0" collapsed="false">
      <c r="A8" s="4" t="s">
        <v>190</v>
      </c>
      <c r="B8" s="11" t="s">
        <v>191</v>
      </c>
    </row>
    <row r="9" customFormat="false" ht="49.5" hidden="false" customHeight="true" outlineLevel="0" collapsed="false">
      <c r="A9" s="4" t="s">
        <v>192</v>
      </c>
      <c r="B9" s="11" t="s">
        <v>193</v>
      </c>
    </row>
    <row r="10" customFormat="false" ht="63.75" hidden="false" customHeight="true" outlineLevel="0" collapsed="false">
      <c r="A10" s="4" t="s">
        <v>194</v>
      </c>
      <c r="B10" s="11" t="s">
        <v>195</v>
      </c>
    </row>
    <row r="11" customFormat="false" ht="49.5" hidden="false" customHeight="true" outlineLevel="0" collapsed="false">
      <c r="A11" s="4" t="s">
        <v>196</v>
      </c>
      <c r="B11" s="11" t="s">
        <v>197</v>
      </c>
    </row>
    <row r="12" customFormat="false" ht="63.75" hidden="false" customHeight="true" outlineLevel="0" collapsed="false">
      <c r="A12" s="4" t="s">
        <v>198</v>
      </c>
      <c r="B12" s="11" t="s">
        <v>199</v>
      </c>
    </row>
    <row r="13" customFormat="false" ht="63.75" hidden="false" customHeight="true" outlineLevel="0" collapsed="false">
      <c r="A13" s="4" t="s">
        <v>200</v>
      </c>
      <c r="B13" s="11" t="s">
        <v>201</v>
      </c>
    </row>
    <row r="14" customFormat="false" ht="63.75" hidden="false" customHeight="true" outlineLevel="0" collapsed="false">
      <c r="A14" s="4" t="s">
        <v>202</v>
      </c>
      <c r="B14" s="11"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3" min="2" style="1" width="14"/>
    <col collapsed="false" customWidth="true" hidden="false" outlineLevel="0" max="4" min="4" style="1" width="18"/>
    <col collapsed="false" customWidth="true" hidden="false" outlineLevel="0" max="5" min="5" style="1" width="16"/>
    <col collapsed="false" customWidth="true" hidden="false" outlineLevel="0" max="6" min="6" style="1" width="20"/>
    <col collapsed="false" customWidth="true" hidden="false" outlineLevel="0" max="7" min="7" style="1" width="22"/>
    <col collapsed="false" customWidth="true" hidden="false" outlineLevel="0" max="8" min="8" style="1" width="16"/>
  </cols>
  <sheetData>
    <row r="1" customFormat="false" ht="18" hidden="false" customHeight="true" outlineLevel="0" collapsed="false">
      <c r="A1" s="2" t="s">
        <v>204</v>
      </c>
    </row>
    <row r="2" customFormat="false" ht="15" hidden="false" customHeight="true" outlineLevel="0" collapsed="false">
      <c r="A2" s="3" t="s">
        <v>205</v>
      </c>
    </row>
    <row r="4" customFormat="false" ht="33.75" hidden="false" customHeight="true" outlineLevel="0" collapsed="false">
      <c r="A4" s="6" t="s">
        <v>206</v>
      </c>
      <c r="B4" s="6" t="s">
        <v>207</v>
      </c>
      <c r="C4" s="6" t="s">
        <v>208</v>
      </c>
    </row>
    <row r="5" customFormat="false" ht="15" hidden="false" customHeight="true" outlineLevel="0" collapsed="false">
      <c r="A5" s="5" t="s">
        <v>209</v>
      </c>
      <c r="B5" s="17" t="n">
        <f aca="false">SUMPRODUCT(('2 Situations'!C5:C8&lt;&gt;"")*('2 Situations'!D5:D8&lt;&gt;""))</f>
        <v>4</v>
      </c>
      <c r="C5" s="29" t="str">
        <f aca="false">IF(B5=4,"OK","Fix")</f>
        <v>OK</v>
      </c>
    </row>
    <row r="6" customFormat="false" ht="15" hidden="false" customHeight="true" outlineLevel="0" collapsed="false">
      <c r="A6" s="5" t="s">
        <v>210</v>
      </c>
      <c r="B6" s="17" t="n">
        <f aca="false">COUNTA('2 Situations'!E5:H8)</f>
        <v>16</v>
      </c>
      <c r="C6" s="29" t="str">
        <f aca="false">IF(B6=16,"OK","Fix")</f>
        <v>OK</v>
      </c>
    </row>
    <row r="7" customFormat="false" ht="15" hidden="false" customHeight="true" outlineLevel="0" collapsed="false">
      <c r="A7" s="5" t="s">
        <v>211</v>
      </c>
      <c r="B7" s="17" t="n">
        <f aca="false">COUNTA('2 Situations'!I5:I8)</f>
        <v>4</v>
      </c>
      <c r="C7" s="29" t="str">
        <f aca="false">IF(B7=4,"OK","Fix")</f>
        <v>OK</v>
      </c>
    </row>
    <row r="8" customFormat="false" ht="15" hidden="false" customHeight="true" outlineLevel="0" collapsed="false">
      <c r="A8" s="5" t="s">
        <v>212</v>
      </c>
      <c r="B8" s="17" t="n">
        <f aca="false">COUNT('3 Choices'!E6:G8,'3 Choices'!E10:G12,'3 Choices'!E14:G16,'3 Choices'!E18:G20)</f>
        <v>36</v>
      </c>
      <c r="C8" s="29" t="str">
        <f aca="false">IF(B8=36,"OK","Fix")</f>
        <v>OK</v>
      </c>
    </row>
    <row r="9" customFormat="false" ht="15" hidden="false" customHeight="true" outlineLevel="0" collapsed="false">
      <c r="A9" s="5" t="s">
        <v>213</v>
      </c>
      <c r="B9" s="17" t="n">
        <f aca="false">COUNT('3 Choices'!I6:L8,'3 Choices'!I10:L12,'3 Choices'!I14:L16,'3 Choices'!I18:L20)</f>
        <v>48</v>
      </c>
      <c r="C9" s="29" t="str">
        <f aca="false">IF(B9=48,"OK","Fix")</f>
        <v>OK</v>
      </c>
    </row>
    <row r="10" customFormat="false" ht="15" hidden="false" customHeight="true" outlineLevel="0" collapsed="false">
      <c r="A10" s="5" t="s">
        <v>214</v>
      </c>
      <c r="B10" s="17" t="n">
        <f aca="false">COUNTIF(F20:F23,"Yes")</f>
        <v>1</v>
      </c>
      <c r="C10" s="29" t="str">
        <f aca="false">IF(B10&gt;=1,"OK","Fix")</f>
        <v>OK</v>
      </c>
    </row>
    <row r="11" customFormat="false" ht="15" hidden="false" customHeight="true" outlineLevel="0" collapsed="false">
      <c r="A11" s="5" t="s">
        <v>215</v>
      </c>
      <c r="B11" s="17" t="n">
        <f aca="false">COUNTIF(G20:G23,"Yes")</f>
        <v>3</v>
      </c>
      <c r="C11" s="29" t="str">
        <f aca="false">IF(B11&gt;=1,"OK","Fix")</f>
        <v>OK</v>
      </c>
    </row>
    <row r="12" customFormat="false" ht="15" hidden="false" customHeight="true" outlineLevel="0" collapsed="false">
      <c r="A12" s="5" t="s">
        <v>216</v>
      </c>
      <c r="B12" s="17" t="n">
        <f aca="false">COUNTA('5 Agent moment'!B5:B14)</f>
        <v>10</v>
      </c>
      <c r="C12" s="29" t="str">
        <f aca="false">IF(B12=10,"OK","Fix")</f>
        <v>OK</v>
      </c>
    </row>
    <row r="13" customFormat="false" ht="15" hidden="false" customHeight="true" outlineLevel="0" collapsed="false">
      <c r="A13" s="5" t="s">
        <v>217</v>
      </c>
      <c r="B13" s="17" t="n">
        <f aca="false">COUNTA('4 Productivity'!B5:B6,'4 Productivity'!B11:B12)+COUNT('4 Productivity'!B7:B10)</f>
        <v>8</v>
      </c>
      <c r="C13" s="29" t="str">
        <f aca="false">IF(B13=8,"OK","Fix")</f>
        <v>OK</v>
      </c>
    </row>
    <row r="14" customFormat="false" ht="15" hidden="false" customHeight="true" outlineLevel="0" collapsed="false">
      <c r="A14" s="5" t="s">
        <v>218</v>
      </c>
      <c r="B14" s="17" t="n">
        <f aca="false">COUNTA('3 Choices'!M6:M8,'3 Choices'!M10:M12,'3 Choices'!M14:M16,'3 Choices'!M18:M20)</f>
        <v>12</v>
      </c>
      <c r="C14" s="29" t="str">
        <f aca="false">IF(B14=12,"OK","Fix")</f>
        <v>OK</v>
      </c>
    </row>
    <row r="15" customFormat="false" ht="23.25" hidden="false" customHeight="true" outlineLevel="0" collapsed="false">
      <c r="A15" s="5" t="s">
        <v>219</v>
      </c>
      <c r="B15" s="17" t="n">
        <f aca="false">SUM(E20:E23)</f>
        <v>115</v>
      </c>
      <c r="C15" s="29" t="str">
        <f aca="false">IF(B15&gt;'Shared numbers'!B20,"Info: above your share","Info: within your share")</f>
        <v>Info: above your share</v>
      </c>
    </row>
    <row r="16" customFormat="false" ht="34.5" hidden="false" customHeight="true" outlineLevel="0" collapsed="false">
      <c r="A16" s="5" t="s">
        <v>220</v>
      </c>
      <c r="B16" s="17" t="n">
        <f aca="false">SUM(H20:H23)</f>
        <v>4</v>
      </c>
      <c r="C16" s="29" t="str">
        <f aca="false">IF(B16&gt;'Shared numbers'!B18,"Info: above the shared allowance","Info: within the shared allowance")</f>
        <v>Info: within the shared allowance</v>
      </c>
    </row>
    <row r="18" customFormat="false" ht="23.25" hidden="false" customHeight="true" outlineLevel="0" collapsed="false">
      <c r="A18" s="4" t="s">
        <v>221</v>
      </c>
      <c r="B18" s="30" t="n">
        <f aca="false">COUNTIF(C5:C14,"Fix")</f>
        <v>0</v>
      </c>
      <c r="C18" s="29" t="str">
        <f aca="false">IF(B18=0,"Ready to present","Not yet: "&amp;B18&amp;" to fix")</f>
        <v>Ready to present</v>
      </c>
    </row>
    <row r="19" customFormat="false" ht="33.75" hidden="false" customHeight="true" outlineLevel="0" collapsed="false">
      <c r="A19" s="6" t="s">
        <v>222</v>
      </c>
      <c r="B19" s="6" t="s">
        <v>223</v>
      </c>
      <c r="C19" s="6" t="s">
        <v>224</v>
      </c>
      <c r="D19" s="6" t="s">
        <v>225</v>
      </c>
      <c r="E19" s="6" t="s">
        <v>226</v>
      </c>
      <c r="F19" s="6" t="s">
        <v>227</v>
      </c>
      <c r="G19" s="6" t="s">
        <v>228</v>
      </c>
      <c r="H19" s="6" t="s">
        <v>229</v>
      </c>
    </row>
    <row r="20" customFormat="false" ht="15" hidden="false" customHeight="true" outlineLevel="0" collapsed="false">
      <c r="A20" s="14" t="n">
        <v>1</v>
      </c>
      <c r="B20" s="17" t="n">
        <f aca="false">'3 Choices'!N5</f>
        <v>0</v>
      </c>
      <c r="C20" s="17" t="n">
        <f aca="false">IF(COUNT('3 Choices'!N6:N8)=0,"",MAX('3 Choices'!N6:N8))</f>
        <v>7</v>
      </c>
      <c r="D20" s="17" t="str">
        <f aca="false">IF(C20="","",INDEX('3 Choices'!B6:B8,MATCH(C20,'3 Choices'!N6:N8,0)))</f>
        <v>AI agent</v>
      </c>
      <c r="E20" s="17" t="n">
        <f aca="false">MAX('3 Choices'!E6:E8)</f>
        <v>30</v>
      </c>
      <c r="F20" s="17" t="str">
        <f aca="false">IF(OR(B20="",C20=""),"",IF(C20&lt;=B20,"Yes","No"))</f>
        <v>No</v>
      </c>
      <c r="G20" s="17" t="str">
        <f aca="false">IF(AND('2 Situations'!I5="Yes",COUNTIF('3 Choices'!O6:O8,"A measure worsens")&gt;0),"Yes","No")</f>
        <v>Yes</v>
      </c>
      <c r="H20" s="17" t="n">
        <f aca="false">MAX('3 Choices'!G6:G8)</f>
        <v>0</v>
      </c>
    </row>
    <row r="21" customFormat="false" ht="15" hidden="false" customHeight="true" outlineLevel="0" collapsed="false">
      <c r="A21" s="14" t="n">
        <v>2</v>
      </c>
      <c r="B21" s="17" t="n">
        <f aca="false">'3 Choices'!N9</f>
        <v>0</v>
      </c>
      <c r="C21" s="17" t="n">
        <f aca="false">IF(COUNT('3 Choices'!N10:N12)=0,"",MAX('3 Choices'!N10:N12))</f>
        <v>9</v>
      </c>
      <c r="D21" s="17" t="str">
        <f aca="false">IF(C21="","",INDEX('3 Choices'!B10:B12,MATCH(C21,'3 Choices'!N10:N12,0)))</f>
        <v>AI agent</v>
      </c>
      <c r="E21" s="17" t="n">
        <f aca="false">MAX('3 Choices'!E10:E12)</f>
        <v>30</v>
      </c>
      <c r="F21" s="17" t="str">
        <f aca="false">IF(OR(B21="",C21=""),"",IF(C21&lt;=B21,"Yes","No"))</f>
        <v>No</v>
      </c>
      <c r="G21" s="17" t="str">
        <f aca="false">IF(AND('2 Situations'!I6="Yes",COUNTIF('3 Choices'!O10:O12,"A measure worsens")&gt;0),"Yes","No")</f>
        <v>Yes</v>
      </c>
      <c r="H21" s="17" t="n">
        <f aca="false">MAX('3 Choices'!G10:G12)</f>
        <v>0</v>
      </c>
    </row>
    <row r="22" customFormat="false" ht="15" hidden="false" customHeight="true" outlineLevel="0" collapsed="false">
      <c r="A22" s="14" t="n">
        <v>3</v>
      </c>
      <c r="B22" s="17" t="n">
        <f aca="false">'3 Choices'!N13</f>
        <v>0</v>
      </c>
      <c r="C22" s="17" t="n">
        <f aca="false">IF(COUNT('3 Choices'!N14:N16)=0,"",MAX('3 Choices'!N14:N16))</f>
        <v>-2</v>
      </c>
      <c r="D22" s="17" t="str">
        <f aca="false">IF(C22="","",INDEX('3 Choices'!B14:B16,MATCH(C22,'3 Choices'!N14:N16,0)))</f>
        <v>Gen AI</v>
      </c>
      <c r="E22" s="17" t="n">
        <f aca="false">MAX('3 Choices'!E14:E16)</f>
        <v>25</v>
      </c>
      <c r="F22" s="17" t="str">
        <f aca="false">IF(OR(B22="",C22=""),"",IF(C22&lt;=B22,"Yes","No"))</f>
        <v>Yes</v>
      </c>
      <c r="G22" s="17" t="str">
        <f aca="false">IF(AND('2 Situations'!I7="Yes",COUNTIF('3 Choices'!O14:O16,"A measure worsens")&gt;0),"Yes","No")</f>
        <v>No</v>
      </c>
      <c r="H22" s="17" t="n">
        <f aca="false">MAX('3 Choices'!G14:G16)</f>
        <v>4</v>
      </c>
    </row>
    <row r="23" customFormat="false" ht="15" hidden="false" customHeight="true" outlineLevel="0" collapsed="false">
      <c r="A23" s="14" t="n">
        <v>4</v>
      </c>
      <c r="B23" s="17" t="n">
        <f aca="false">'3 Choices'!N17</f>
        <v>0</v>
      </c>
      <c r="C23" s="17" t="n">
        <f aca="false">IF(COUNT('3 Choices'!N18:N20)=0,"",MAX('3 Choices'!N18:N20))</f>
        <v>6</v>
      </c>
      <c r="D23" s="17" t="str">
        <f aca="false">IF(C23="","",INDEX('3 Choices'!B18:B20,MATCH(C23,'3 Choices'!N18:N20,0)))</f>
        <v>Gen AI</v>
      </c>
      <c r="E23" s="17" t="n">
        <f aca="false">MAX('3 Choices'!E18:E20)</f>
        <v>30</v>
      </c>
      <c r="F23" s="17" t="str">
        <f aca="false">IF(OR(B23="",C23=""),"",IF(C23&lt;=B23,"Yes","No"))</f>
        <v>No</v>
      </c>
      <c r="G23" s="17" t="str">
        <f aca="false">IF(AND('2 Situations'!I8="Yes",COUNTIF('3 Choices'!O18:O20,"A measure worsens")&gt;0),"Yes","No")</f>
        <v>Yes</v>
      </c>
      <c r="H23" s="17" t="n">
        <f aca="false">MAX('3 Choices'!G18:G20)</f>
        <v>0</v>
      </c>
    </row>
  </sheetData>
  <conditionalFormatting sqref="C5:C18">
    <cfRule type="expression" priority="2" aboveAverage="0" equalAverage="0" bottom="0" percent="0" rank="0" text="" dxfId="1">
      <formula>LEFT(C5,3)="Fix"</formula>
    </cfRule>
    <cfRule type="expression" priority="3" aboveAverage="0" equalAverage="0" bottom="0" percent="0" rank="0" text="" dxfId="2">
      <formula>OR(C5="OK",C5="Ready to present")</formula>
    </cfRule>
  </conditionalFormatting>
  <conditionalFormatting sqref="C18">
    <cfRule type="expression" priority="4" aboveAverage="0" equalAverage="0" bottom="0" percent="0" rank="0" text="" dxfId="1">
      <formula>LEFT(C18,3)="Not"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40"/>
    <col collapsed="false" customWidth="true" hidden="false" outlineLevel="0" max="5" min="4" style="1" width="12"/>
    <col collapsed="false" customWidth="true" hidden="false" outlineLevel="0" max="6" min="6" style="1" width="10"/>
    <col collapsed="false" customWidth="true" hidden="false" outlineLevel="0" max="7" min="7" style="1" width="12"/>
    <col collapsed="false" customWidth="true" hidden="false" outlineLevel="0" max="8" min="8" style="1" width="10"/>
    <col collapsed="false" customWidth="true" hidden="false" outlineLevel="0" max="11" min="9" style="1" width="8"/>
    <col collapsed="false" customWidth="true" hidden="false" outlineLevel="0" max="12" min="12" style="1" width="50"/>
  </cols>
  <sheetData>
    <row r="1" customFormat="false" ht="18" hidden="false" customHeight="true" outlineLevel="0" collapsed="false">
      <c r="A1" s="2" t="s">
        <v>230</v>
      </c>
    </row>
    <row r="2" customFormat="false" ht="15" hidden="false" customHeight="true" outlineLevel="0" collapsed="false">
      <c r="A2" s="3" t="s">
        <v>231</v>
      </c>
    </row>
    <row r="4" customFormat="false" ht="33.75" hidden="false" customHeight="true" outlineLevel="0" collapsed="false">
      <c r="A4" s="6" t="s">
        <v>26</v>
      </c>
      <c r="B4" s="6" t="s">
        <v>232</v>
      </c>
    </row>
    <row r="5" customFormat="false" ht="43.5" hidden="false" customHeight="true" outlineLevel="0" collapsed="false">
      <c r="A5" s="4" t="s">
        <v>54</v>
      </c>
      <c r="B5" s="5" t="s">
        <v>233</v>
      </c>
    </row>
    <row r="6" customFormat="false" ht="43.5" hidden="false" customHeight="true" outlineLevel="0" collapsed="false">
      <c r="A6" s="4" t="s">
        <v>234</v>
      </c>
      <c r="B6" s="5" t="s">
        <v>235</v>
      </c>
    </row>
    <row r="7" customFormat="false" ht="43.5" hidden="false" customHeight="true" outlineLevel="0" collapsed="false">
      <c r="A7" s="4" t="s">
        <v>236</v>
      </c>
      <c r="B7" s="5" t="s">
        <v>237</v>
      </c>
    </row>
    <row r="8" customFormat="false" ht="43.5" hidden="false" customHeight="true" outlineLevel="0" collapsed="false">
      <c r="A8" s="4" t="s">
        <v>238</v>
      </c>
      <c r="B8" s="5" t="s">
        <v>239</v>
      </c>
    </row>
    <row r="9" customFormat="false" ht="43.5" hidden="false" customHeight="true" outlineLevel="0" collapsed="false">
      <c r="A9" s="4" t="s">
        <v>240</v>
      </c>
      <c r="B9" s="5" t="s">
        <v>241</v>
      </c>
    </row>
    <row r="10" customFormat="false" ht="43.5" hidden="false" customHeight="true" outlineLevel="0" collapsed="false">
      <c r="A10" s="4" t="s">
        <v>242</v>
      </c>
      <c r="B10" s="5" t="s">
        <v>243</v>
      </c>
    </row>
    <row r="11" customFormat="false" ht="43.5" hidden="false" customHeight="true" outlineLevel="0" collapsed="false">
      <c r="A11" s="4" t="s">
        <v>244</v>
      </c>
      <c r="B11" s="5" t="s">
        <v>245</v>
      </c>
    </row>
    <row r="12" customFormat="false" ht="43.5" hidden="false" customHeight="true" outlineLevel="0" collapsed="false">
      <c r="A12" s="4" t="s">
        <v>246</v>
      </c>
      <c r="B12" s="5" t="s">
        <v>80</v>
      </c>
    </row>
    <row r="13" customFormat="false" ht="43.5" hidden="false" customHeight="true" outlineLevel="0" collapsed="false">
      <c r="A13" s="4" t="s">
        <v>247</v>
      </c>
      <c r="B13" s="5" t="s">
        <v>248</v>
      </c>
    </row>
    <row r="15" customFormat="false" ht="33.75" hidden="false" customHeight="true" outlineLevel="0" collapsed="false">
      <c r="A15" s="6" t="s">
        <v>109</v>
      </c>
      <c r="B15" s="6" t="s">
        <v>110</v>
      </c>
      <c r="C15" s="6" t="s">
        <v>249</v>
      </c>
      <c r="D15" s="6" t="s">
        <v>250</v>
      </c>
      <c r="E15" s="6" t="s">
        <v>251</v>
      </c>
      <c r="F15" s="6" t="s">
        <v>252</v>
      </c>
      <c r="G15" s="6" t="s">
        <v>115</v>
      </c>
      <c r="H15" s="6" t="s">
        <v>253</v>
      </c>
      <c r="I15" s="6" t="s">
        <v>254</v>
      </c>
      <c r="J15" s="6" t="s">
        <v>255</v>
      </c>
      <c r="K15" s="6" t="s">
        <v>256</v>
      </c>
      <c r="L15" s="6" t="s">
        <v>257</v>
      </c>
    </row>
    <row r="16" customFormat="false" ht="48" hidden="false" customHeight="true" outlineLevel="0" collapsed="false">
      <c r="A16" s="5" t="s">
        <v>123</v>
      </c>
      <c r="B16" s="5" t="s">
        <v>124</v>
      </c>
      <c r="C16" s="5" t="s">
        <v>258</v>
      </c>
      <c r="D16" s="5" t="n">
        <v>0</v>
      </c>
      <c r="E16" s="5" t="n">
        <v>0</v>
      </c>
      <c r="F16" s="5" t="n">
        <v>0</v>
      </c>
      <c r="G16" s="5" t="s">
        <v>126</v>
      </c>
      <c r="H16" s="5" t="n">
        <v>0</v>
      </c>
      <c r="I16" s="5" t="n">
        <v>0</v>
      </c>
      <c r="J16" s="5" t="n">
        <v>0</v>
      </c>
      <c r="K16" s="5" t="n">
        <v>0</v>
      </c>
      <c r="L16" s="5" t="s">
        <v>259</v>
      </c>
    </row>
    <row r="17" customFormat="false" ht="48" hidden="false" customHeight="true" outlineLevel="0" collapsed="false">
      <c r="A17" s="5" t="s">
        <v>128</v>
      </c>
      <c r="B17" s="5" t="s">
        <v>129</v>
      </c>
      <c r="C17" s="5" t="s">
        <v>260</v>
      </c>
      <c r="D17" s="5" t="n">
        <v>5</v>
      </c>
      <c r="E17" s="5" t="n">
        <v>2</v>
      </c>
      <c r="F17" s="5" t="n">
        <v>0</v>
      </c>
      <c r="G17" s="5" t="s">
        <v>80</v>
      </c>
      <c r="H17" s="5" t="n">
        <v>2</v>
      </c>
      <c r="I17" s="5" t="n">
        <v>0</v>
      </c>
      <c r="J17" s="5" t="n">
        <v>2</v>
      </c>
      <c r="K17" s="5" t="n">
        <v>0</v>
      </c>
      <c r="L17" s="5" t="s">
        <v>261</v>
      </c>
    </row>
    <row r="18" customFormat="false" ht="48" hidden="false" customHeight="true" outlineLevel="0" collapsed="false">
      <c r="A18" s="5" t="s">
        <v>132</v>
      </c>
      <c r="B18" s="5" t="s">
        <v>133</v>
      </c>
      <c r="C18" s="5" t="s">
        <v>262</v>
      </c>
      <c r="D18" s="5" t="n">
        <v>15</v>
      </c>
      <c r="E18" s="5" t="n">
        <v>8</v>
      </c>
      <c r="F18" s="5" t="n">
        <v>0</v>
      </c>
      <c r="G18" s="5" t="s">
        <v>80</v>
      </c>
      <c r="H18" s="5" t="n">
        <v>5</v>
      </c>
      <c r="I18" s="5" t="n">
        <v>-2</v>
      </c>
      <c r="J18" s="5" t="n">
        <v>0</v>
      </c>
      <c r="K18" s="5" t="n">
        <v>2</v>
      </c>
      <c r="L18" s="5" t="s">
        <v>263</v>
      </c>
    </row>
    <row r="19" customFormat="false" ht="48" hidden="false" customHeight="true" outlineLevel="0" collapsed="false">
      <c r="A19" s="5" t="s">
        <v>136</v>
      </c>
      <c r="B19" s="5" t="s">
        <v>137</v>
      </c>
      <c r="C19" s="5" t="s">
        <v>264</v>
      </c>
      <c r="D19" s="5" t="n">
        <v>30</v>
      </c>
      <c r="E19" s="5" t="n">
        <v>20</v>
      </c>
      <c r="F19" s="5" t="n">
        <v>0</v>
      </c>
      <c r="G19" s="5" t="s">
        <v>139</v>
      </c>
      <c r="H19" s="5" t="n">
        <v>5</v>
      </c>
      <c r="I19" s="5" t="n">
        <v>-5</v>
      </c>
      <c r="J19" s="5" t="n">
        <v>-2</v>
      </c>
      <c r="K19" s="5" t="n">
        <v>5</v>
      </c>
      <c r="L19" s="5" t="s">
        <v>265</v>
      </c>
    </row>
    <row r="21" customFormat="false" ht="33.75" hidden="false" customHeight="true" outlineLevel="0" collapsed="false">
      <c r="A21" s="9" t="s">
        <v>266</v>
      </c>
      <c r="B21" s="9"/>
      <c r="C21" s="9"/>
      <c r="D21" s="9"/>
      <c r="E21" s="9"/>
      <c r="F21" s="9"/>
      <c r="G21" s="9"/>
      <c r="H21" s="9"/>
      <c r="I21" s="9"/>
      <c r="J21" s="9"/>
      <c r="K21" s="9"/>
      <c r="L21" s="9"/>
    </row>
  </sheetData>
  <mergeCells count="1">
    <mergeCell ref="A21:L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 t="s">
        <v>80</v>
      </c>
      <c r="B1" s="1" t="s">
        <v>124</v>
      </c>
      <c r="C1" s="1" t="s">
        <v>80</v>
      </c>
      <c r="D1" s="1" t="s">
        <v>233</v>
      </c>
      <c r="E1" s="1" t="s">
        <v>267</v>
      </c>
    </row>
    <row r="2" customFormat="false" ht="15" hidden="false" customHeight="true" outlineLevel="0" collapsed="false">
      <c r="A2" s="1" t="s">
        <v>97</v>
      </c>
      <c r="B2" s="1" t="s">
        <v>129</v>
      </c>
      <c r="C2" s="1" t="s">
        <v>139</v>
      </c>
      <c r="D2" s="1" t="s">
        <v>268</v>
      </c>
      <c r="E2" s="1" t="s">
        <v>269</v>
      </c>
    </row>
    <row r="3" customFormat="false" ht="15" hidden="false" customHeight="true" outlineLevel="0" collapsed="false">
      <c r="A3" s="1" t="s">
        <v>139</v>
      </c>
      <c r="B3" s="1" t="s">
        <v>133</v>
      </c>
      <c r="D3" s="1" t="s">
        <v>270</v>
      </c>
      <c r="E3" s="1" t="s">
        <v>271</v>
      </c>
    </row>
    <row r="4" customFormat="false" ht="15" hidden="false" customHeight="true" outlineLevel="0" collapsed="false">
      <c r="B4" s="1" t="s">
        <v>137</v>
      </c>
      <c r="D4" s="1" t="s">
        <v>272</v>
      </c>
      <c r="E4" s="1" t="s">
        <v>273</v>
      </c>
    </row>
    <row r="5" customFormat="false" ht="15" hidden="false" customHeight="true" outlineLevel="0" collapsed="false">
      <c r="D5" s="1" t="s">
        <v>274</v>
      </c>
    </row>
    <row r="6" customFormat="false" ht="15" hidden="false" customHeight="true" outlineLevel="0" collapsed="false">
      <c r="D6" s="1"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2026-10-29T03:39:08Z</dcterms:created>
  <dc:creator>openpyxl</dc:creator>
  <dc:description/>
  <dc:language>en-US</dc:language>
  <cp:lastModifiedBy/>
  <dcterms:modified xsi:type="dcterms:W3CDTF">2026-10-29T05:38:37Z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